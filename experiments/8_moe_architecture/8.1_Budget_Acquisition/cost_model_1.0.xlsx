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68800" windowHeight="26400" tabRatio="600" firstSheet="0" activeTab="1" autoFilterDateGrouping="1"/>
  </bookViews>
  <sheets>
    <sheet xmlns:r="http://schemas.openxmlformats.org/officeDocument/2006/relationships" name="d_ff_512" sheetId="1" state="visible" r:id="rId1"/>
    <sheet xmlns:r="http://schemas.openxmlformats.org/officeDocument/2006/relationships" name="d_ff_1024" sheetId="2" state="visible" r:id="rId2"/>
    <sheet xmlns:r="http://schemas.openxmlformats.org/officeDocument/2006/relationships" name="d_ff_2048" sheetId="3" state="visible" r:id="rId3"/>
    <sheet xmlns:r="http://schemas.openxmlformats.org/officeDocument/2006/relationships" name="DeepSeek_Lad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2" applyAlignment="1" pivotButton="0" quotePrefix="0" xfId="0">
      <alignment horizontal="center" wrapText="1"/>
    </xf>
    <xf numFmtId="0" fontId="6" fillId="3" borderId="2" applyAlignment="1" pivotButton="0" quotePrefix="0" xfId="0">
      <alignment horizontal="center" wrapText="1"/>
    </xf>
    <xf numFmtId="0" fontId="0" fillId="0" borderId="2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O59"/>
  <sheetViews>
    <sheetView workbookViewId="0">
      <pane ySplit="10" topLeftCell="A11" activePane="bottomLeft" state="frozen"/>
      <selection pane="bottomLeft" activeCell="M20" sqref="M20"/>
    </sheetView>
  </sheetViews>
  <sheetFormatPr baseColWidth="10" defaultColWidth="8.83203125" defaultRowHeight="15"/>
  <cols>
    <col width="89.33203125" bestFit="1" customWidth="1" style="7" min="1" max="1"/>
    <col width="16" customWidth="1" style="7" min="2" max="2"/>
    <col width="12" customWidth="1" style="7" min="3" max="3"/>
    <col width="11" customWidth="1" style="7" min="4" max="4"/>
    <col width="9" customWidth="1" style="7" min="5" max="5"/>
    <col width="22" customWidth="1" style="7" min="6" max="6"/>
    <col width="14" customWidth="1" style="7" min="7" max="7"/>
    <col width="18" customWidth="1" style="7" min="8" max="8"/>
    <col width="14" customWidth="1" style="7" min="9" max="9"/>
    <col width="16" customWidth="1" style="7" min="10" max="11"/>
    <col width="12" customWidth="1" style="7" min="12" max="12"/>
    <col width="14" customWidth="1" style="7" min="13" max="14"/>
    <col width="16" customWidth="1" style="7" min="15" max="15"/>
    <col width="18" customWidth="1" style="7" min="16" max="16"/>
    <col width="16" customWidth="1" style="7" min="17" max="17"/>
    <col width="12" customWidth="1" style="7" min="18" max="19"/>
    <col width="16" customWidth="1" style="7" min="20" max="20"/>
    <col width="14" customWidth="1" style="7" min="21" max="22"/>
    <col width="22" customWidth="1" style="7" min="23" max="23"/>
    <col width="22" customWidth="1" style="7" min="24" max="24"/>
    <col width="22" customWidth="1" style="7" min="25" max="25"/>
    <col width="22" customWidth="1" style="7" min="26" max="26"/>
    <col width="22" customWidth="1" style="7" min="27" max="27"/>
    <col width="22" customWidth="1" style="7" min="28" max="28"/>
    <col width="22" customWidth="1" style="7" min="29" max="29"/>
    <col width="22" customWidth="1" style="7" min="30" max="30"/>
    <col width="22" customWidth="1" style="7" min="31" max="31"/>
    <col width="22" customWidth="1" style="7" min="32" max="32"/>
  </cols>
  <sheetData>
    <row r="1" ht="19" customHeight="1" s="7">
      <c r="A1" s="6" t="inlineStr">
        <is>
          <t>Single-Sheet MoE / Dense Cost Calculator (SwiGLU only)</t>
        </is>
      </c>
    </row>
    <row r="2"/>
    <row r="3" ht="16" customHeight="1" s="7">
      <c r="A3" s="8" t="inlineStr">
        <is>
          <t>Global Inputs</t>
        </is>
      </c>
      <c r="D3" s="8" t="inlineStr">
        <is>
          <t>GPU Table</t>
        </is>
      </c>
    </row>
    <row r="4" ht="48" customHeight="1" s="7">
      <c r="A4" s="2" t="inlineStr">
        <is>
          <t>Seq_Len</t>
        </is>
      </c>
      <c r="B4" t="n">
        <v>2048</v>
      </c>
      <c r="D4" s="3" t="inlineStr">
        <is>
          <t>GPU_Type</t>
        </is>
      </c>
      <c r="E4" s="3" t="inlineStr">
        <is>
          <t>Effective_TFLOPs_per_GPU</t>
        </is>
      </c>
      <c r="F4" s="3" t="inlineStr">
        <is>
          <t>Cost_per_GPU_Hour_USD</t>
        </is>
      </c>
    </row>
    <row r="5">
      <c r="A5" s="2" t="inlineStr">
        <is>
          <t>Backward_Multiplier (train FLOPs = fwd * multiplier)</t>
        </is>
      </c>
      <c r="B5" t="n">
        <v>2</v>
      </c>
      <c r="D5" t="inlineStr">
        <is>
          <t>A100-80GB</t>
        </is>
      </c>
      <c r="E5" t="n">
        <v>100</v>
      </c>
      <c r="F5" t="n">
        <v>2</v>
      </c>
    </row>
    <row r="6">
      <c r="A6" s="2" t="inlineStr">
        <is>
          <t>Vocab_Size</t>
        </is>
      </c>
      <c r="B6" t="n">
        <v>50000</v>
      </c>
      <c r="D6" t="inlineStr">
        <is>
          <t>H100-80GB</t>
        </is>
      </c>
      <c r="E6" t="n">
        <v>300</v>
      </c>
      <c r="F6" t="n">
        <v>2</v>
      </c>
    </row>
    <row r="7">
      <c r="A7" s="2" t="inlineStr">
        <is>
          <t>Tie_Embeddings (TRUE/FALSE)</t>
        </is>
      </c>
      <c r="B7" t="b">
        <v>1</v>
      </c>
    </row>
    <row r="8">
      <c r="A8" s="2" t="inlineStr">
        <is>
          <t>Num_GPUs (for wall-clock time)</t>
        </is>
      </c>
      <c r="B8" t="n">
        <v>64</v>
      </c>
    </row>
    <row r="9" ht="16" customHeight="1" s="7">
      <c r="A9" s="8" t="inlineStr">
        <is>
          <t>Model Table (edit inputs in columns A-L; outputs auto-compute)</t>
        </is>
      </c>
    </row>
    <row r="10" ht="32" customHeight="1" s="7">
      <c r="A10" s="10" t="inlineStr">
        <is>
          <t>Model</t>
        </is>
      </c>
      <c r="B10" s="10" t="inlineStr">
        <is>
          <t>Tokens_Trained</t>
        </is>
      </c>
      <c r="C10" s="10" t="inlineStr">
        <is>
          <t>GPU_Type</t>
        </is>
      </c>
      <c r="D10" s="10" t="inlineStr">
        <is>
          <t>Num_Layers</t>
        </is>
      </c>
      <c r="E10" s="10" t="inlineStr">
        <is>
          <t>d_model</t>
        </is>
      </c>
      <c r="F10" s="10" t="inlineStr">
        <is>
          <t>FFN_d_ff (dense or per-expert)</t>
        </is>
      </c>
      <c r="G10" s="10" t="inlineStr">
        <is>
          <t>MoE? (TRUE/FALSE)</t>
        </is>
      </c>
      <c r="H10" s="10" t="inlineStr">
        <is>
          <t>Routed_Experts (N)</t>
        </is>
      </c>
      <c r="I10" s="10" t="inlineStr">
        <is>
          <t>Shared_Experts</t>
        </is>
      </c>
      <c r="J10" s="10" t="inlineStr">
        <is>
          <t>Null_Duplicates (M)</t>
        </is>
      </c>
      <c r="K10" s="10" t="inlineStr">
        <is>
          <t>Top_k (routed slots)</t>
        </is>
      </c>
      <c r="L10" s="10" t="inlineStr">
        <is>
          <t>rho (optional)</t>
        </is>
      </c>
      <c r="M10" s="10" t="inlineStr">
        <is>
          <t>E_real_per_layer</t>
        </is>
      </c>
      <c r="N10" s="10" t="inlineStr">
        <is>
          <t>Total_Params (B)</t>
        </is>
      </c>
      <c r="O10" s="10" t="inlineStr">
        <is>
          <t>Active_Experts/token</t>
        </is>
      </c>
      <c r="P10" s="10" t="inlineStr">
        <is>
          <t>Active_Params (B, approx)</t>
        </is>
      </c>
      <c r="Q10" s="10" t="inlineStr">
        <is>
          <t>FLOPs/token (train)</t>
        </is>
      </c>
      <c r="R10" s="10" t="inlineStr">
        <is>
          <t>Total_ZFLOPs</t>
        </is>
      </c>
      <c r="S10" s="10" t="inlineStr">
        <is>
          <t>GPU_Hours</t>
        </is>
      </c>
      <c r="T10" s="10" t="inlineStr">
        <is>
          <t>Wall_Days (@ Num_GPUs)</t>
        </is>
      </c>
      <c r="U10" s="10" t="inlineStr">
        <is>
          <t>Cost_USD</t>
        </is>
      </c>
      <c r="V10" s="10" t="inlineStr">
        <is>
          <t>Derived_rho_used</t>
        </is>
      </c>
      <c r="W10" s="11" t="inlineStr">
        <is>
          <t>MTP_D</t>
        </is>
      </c>
      <c r="X10" s="11" t="inlineStr">
        <is>
          <t>mHC_enabled (TRUE/FALSE)</t>
        </is>
      </c>
      <c r="Y10" s="11" t="inlineStr">
        <is>
          <t>mHC_extra_FLOPs_per_token_per_layer (fwd)</t>
        </is>
      </c>
      <c r="Z10" s="11" t="inlineStr">
        <is>
          <t>MTP_extra_FLOPs_per_token (fwd)</t>
        </is>
      </c>
      <c r="AA10" s="11" t="inlineStr">
        <is>
          <t>FLOPs/token (train) incl MTP+mHC</t>
        </is>
      </c>
      <c r="AB10" s="11" t="inlineStr">
        <is>
          <t>Router_FLOPs/token/layer (fwd)</t>
        </is>
      </c>
      <c r="AC10" s="11" t="inlineStr">
        <is>
          <t>ExpertWeights_bytes/token/layer</t>
        </is>
      </c>
      <c r="AD10" s="11" t="inlineStr">
        <is>
          <t>Dispatch_bytes/token/layer</t>
        </is>
      </c>
      <c r="AE10" s="11" t="inlineStr">
        <is>
          <t>Total_bytes/token (all layers)</t>
        </is>
      </c>
      <c r="AF10" s="11" t="inlineStr">
        <is>
          <t>BW_required_GBps_per_GPU (train est)</t>
        </is>
      </c>
    </row>
    <row r="11">
      <c r="A11" s="12" t="inlineStr">
        <is>
          <t>1B_dense</t>
        </is>
      </c>
      <c r="B11" s="12" t="n">
        <v>300000000000</v>
      </c>
      <c r="C11" s="12" t="inlineStr">
        <is>
          <t>A100-80GB</t>
        </is>
      </c>
      <c r="D11" s="12" t="n">
        <v>20</v>
      </c>
      <c r="E11" s="12" t="n">
        <v>2048</v>
      </c>
      <c r="F11" s="12" t="n">
        <v>4096</v>
      </c>
      <c r="G11" s="12" t="b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/>
      <c r="M11" s="12">
        <f>IF(G11,H11+I11,1)</f>
        <v/>
      </c>
      <c r="N11" s="12">
        <f>(($B$6*E11)+IF($B$7,0,($B$6*E11))+D11*((4*E11*E11)+IF(G11,E11*(H11+I11+1),0)+IF(G11,(H11+I11)*(3*E11*F11),(3*E11*F11))))/1000000000</f>
        <v/>
      </c>
      <c r="O11" s="12">
        <f>IF(G11,I11+K11*V11,1)</f>
        <v/>
      </c>
      <c r="P11" s="12">
        <f>(($B$6*E11)+IF($B$7,0,($B$6*E11))+D11*((4*E11*E11)+IF(G11,E11*(H11+I11+1),0)+IF(G11,(I11+K11*V11)*(3*E11*F11),(3*E11*F11))))/1000000000</f>
        <v/>
      </c>
      <c r="Q11" s="12">
        <f>D11*((8*E11*E11 + 4*$B$4*E11)+(IF(G11,I11+K11*V11,1)*(6*E11*F11)))*$B$5</f>
        <v/>
      </c>
      <c r="R11" s="12">
        <f>Q11*B11/1E+21</f>
        <v/>
      </c>
      <c r="S11" s="12">
        <f>IFERROR((Q11*B11)/(VLOOKUP(TRIM(C11),$D$5:$F$6,2,FALSE)*1000000000000)/3600,"")</f>
        <v/>
      </c>
      <c r="T11" s="12">
        <f>IFERROR(S11/($B$8*24),"")</f>
        <v/>
      </c>
      <c r="U11" s="12">
        <f>IFERROR(S11*(VLOOKUP(TRIM(C11),$D$5:$F$6,3,FALSE)),"")</f>
        <v/>
      </c>
      <c r="V11" s="12">
        <f>IF(G11,IF(L11&lt;&gt;"",L11,IF(H11&gt;0,H11/(H11+J11),1)),1)</f>
        <v/>
      </c>
      <c r="W11" s="12" t="n">
        <v>0</v>
      </c>
      <c r="X11" s="12" t="b">
        <v>0</v>
      </c>
      <c r="Y11" s="12" t="n">
        <v>0</v>
      </c>
      <c r="Z11" s="12">
        <f>W11*2*E11*$B$6</f>
        <v/>
      </c>
      <c r="AA11" s="12">
        <f>(D11*((8*E11*E11 + 4*$B$4*E11) + (IF(G11,I11+K11*(IF(H11&gt;0,H11/(H11+J11),1)),1))*(6*E11*F11) + IF(X11,Y11,0) + AB11)+Z11)*$B$5</f>
        <v/>
      </c>
      <c r="AB11" s="12">
        <f>IF(G11,2*E11*(H11+I11+J11+1),0)</f>
        <v/>
      </c>
      <c r="AC11" s="12">
        <f>(IF(G11,I11+K11*(IF(H11&gt;0,H11/(H11+J11),1)),1))*(3*E11*F11)*$B$23*$B$25</f>
        <v/>
      </c>
      <c r="AD11" s="12">
        <f>IF(G11,2*E11*$B$23*(IF(G11,I11+K11*(IF(H11&gt;0,H11/(H11+J11),1)),1))*$B$24,0)</f>
        <v/>
      </c>
      <c r="AE11" s="12">
        <f>D11*(AC11+AD11)</f>
        <v/>
      </c>
      <c r="AF11" s="12">
        <f>(AE11*(VLOOKUP(TRIM(C11),$D$5:$F$6,2,FALSE)*1E12)/AA11)/1E9</f>
        <v/>
      </c>
    </row>
    <row r="12">
      <c r="A12" s="12" t="inlineStr">
        <is>
          <t>3B_moe</t>
        </is>
      </c>
      <c r="B12" s="12" t="n">
        <v>300000000000</v>
      </c>
      <c r="C12" s="12" t="inlineStr">
        <is>
          <t>A100-80GB</t>
        </is>
      </c>
      <c r="D12" s="12" t="n">
        <v>20</v>
      </c>
      <c r="E12" s="12" t="n">
        <v>2048</v>
      </c>
      <c r="F12" s="12" t="n">
        <v>512</v>
      </c>
      <c r="G12" s="12" t="b">
        <v>1</v>
      </c>
      <c r="H12" s="12" t="n">
        <v>40</v>
      </c>
      <c r="I12" s="12" t="n">
        <v>2</v>
      </c>
      <c r="J12" s="12" t="n">
        <v>20</v>
      </c>
      <c r="K12" s="12" t="n">
        <v>4</v>
      </c>
      <c r="L12" s="12" t="n"/>
      <c r="M12" s="12">
        <f>IF(G12,H12+I12,1)</f>
        <v/>
      </c>
      <c r="N12" s="12">
        <f>(($B$6*E12)+IF($B$7,0,($B$6*E12))+D12*((4*E12*E12)+IF(G12,E12*(H12+I12+1),0)+IF(G12,(H12+I12)*(3*E12*F12),(3*E12*F12))))/1000000000</f>
        <v/>
      </c>
      <c r="O12" s="12">
        <f>IF(G12,I12+K12*V12,1)</f>
        <v/>
      </c>
      <c r="P12" s="12">
        <f>(($B$6*E12)+IF($B$7,0,($B$6*E12))+D12*((4*E12*E12)+IF(G12,E12*(H12+I12+1),0)+IF(G12,(I12+K12*V12)*(3*E12*F12),(3*E12*F12))))/1000000000</f>
        <v/>
      </c>
      <c r="Q12" s="12">
        <f>D12*((8*E12*E12 + 4*$B$4*E12)+(IF(G12,I12+K12*V12,1)*(6*E12*F12)))*$B$5</f>
        <v/>
      </c>
      <c r="R12" s="12">
        <f>Q12*B12/1E+21</f>
        <v/>
      </c>
      <c r="S12" s="12">
        <f>IFERROR((Q12*B12)/(VLOOKUP(TRIM(C12),$D$5:$F$6,2,FALSE)*1000000000000)/3600,"")</f>
        <v/>
      </c>
      <c r="T12" s="12">
        <f>IFERROR(S12/($B$8*24),"")</f>
        <v/>
      </c>
      <c r="U12" s="12">
        <f>IFERROR(S12*(VLOOKUP(TRIM(C12),$D$5:$F$6,3,FALSE)),"")</f>
        <v/>
      </c>
      <c r="V12" s="12">
        <f>IF(G12,IF(L12&lt;&gt;"",L12,IF(H12&gt;0,H12/(H12+J12),1)),1)</f>
        <v/>
      </c>
      <c r="W12" s="12" t="n">
        <v>0</v>
      </c>
      <c r="X12" s="12" t="b">
        <v>0</v>
      </c>
      <c r="Y12" s="12" t="n">
        <v>0</v>
      </c>
      <c r="Z12" s="12">
        <f>W12*2*E12*$B$6</f>
        <v/>
      </c>
      <c r="AA12" s="12">
        <f>(D12*((8*E12*E12 + 4*$B$4*E12) + (IF(G12,I12+K12*(IF(H12&gt;0,H12/(H12+J12),1)),1))*(6*E12*F12) + IF(X12,Y12,0) + AB12)+Z12)*$B$5</f>
        <v/>
      </c>
      <c r="AB12" s="12">
        <f>IF(G12,2*E12*(H12+I12+J12+1),0)</f>
        <v/>
      </c>
      <c r="AC12" s="12">
        <f>(IF(G12,I12+K12*(IF(H12&gt;0,H12/(H12+J12),1)),1))*(3*E12*F12)*$B$23*$B$25</f>
        <v/>
      </c>
      <c r="AD12" s="12">
        <f>IF(G12,2*E12*$B$23*(IF(G12,I12+K12*(IF(H12&gt;0,H12/(H12+J12),1)),1))*$B$24,0)</f>
        <v/>
      </c>
      <c r="AE12" s="12">
        <f>D12*(AC12+AD12)</f>
        <v/>
      </c>
      <c r="AF12" s="12">
        <f>(AE12*(VLOOKUP(TRIM(C12),$D$5:$F$6,2,FALSE)*1E12)/AA12)/1E9</f>
        <v/>
      </c>
    </row>
    <row r="13">
      <c r="A13" s="12" t="inlineStr">
        <is>
          <t>8B_moe</t>
        </is>
      </c>
      <c r="B13" s="12" t="n">
        <v>300000000000</v>
      </c>
      <c r="C13" s="12" t="inlineStr">
        <is>
          <t>H100-80GB</t>
        </is>
      </c>
      <c r="D13" s="12" t="n">
        <v>40</v>
      </c>
      <c r="E13" s="12" t="n">
        <v>2048</v>
      </c>
      <c r="F13" s="12" t="n">
        <v>512</v>
      </c>
      <c r="G13" s="12" t="b">
        <v>1</v>
      </c>
      <c r="H13" s="12" t="n">
        <v>40</v>
      </c>
      <c r="I13" s="12" t="n">
        <v>2</v>
      </c>
      <c r="J13" s="12" t="n">
        <v>20</v>
      </c>
      <c r="K13" s="12" t="n">
        <v>4</v>
      </c>
      <c r="L13" s="12" t="n"/>
      <c r="M13" s="12">
        <f>IF(G13,H13+I13,1)</f>
        <v/>
      </c>
      <c r="N13" s="12">
        <f>(($B$6*E13)+IF($B$7,0,($B$6*E13))+D13*((4*E13*E13)+IF(G13,E13*(H13+I13+1),0)+IF(G13,(H13+I13)*(3*E13*F13),(3*E13*F13))))/1000000000</f>
        <v/>
      </c>
      <c r="O13" s="12">
        <f>IF(G13,I13+K13*V13,1)</f>
        <v/>
      </c>
      <c r="P13" s="12">
        <f>(($B$6*E13)+IF($B$7,0,($B$6*E13))+D13*((4*E13*E13)+IF(G13,E13*(H13+I13+1),0)+IF(G13,(I13+K13*V13)*(3*E13*F13),(3*E13*F13))))/1000000000</f>
        <v/>
      </c>
      <c r="Q13" s="12">
        <f>D13*((8*E13*E13 + 4*$B$4*E13)+(IF(G13,I13+K13*V13,1)*(6*E13*F13)))*$B$5</f>
        <v/>
      </c>
      <c r="R13" s="12">
        <f>Q13*B13/1E+21</f>
        <v/>
      </c>
      <c r="S13" s="12">
        <f>IFERROR((Q13*B13)/(VLOOKUP(TRIM(C13),$D$5:$F$6,2,FALSE)*1000000000000)/3600,"")</f>
        <v/>
      </c>
      <c r="T13" s="12">
        <f>IFERROR(S13/($B$8*24),"")</f>
        <v/>
      </c>
      <c r="U13" s="12">
        <f>IFERROR(S13*(VLOOKUP(TRIM(C13),$D$5:$F$6,3,FALSE)),"")</f>
        <v/>
      </c>
      <c r="V13" s="12">
        <f>IF(G13,IF(L13&lt;&gt;"",L13,IF(H13&gt;0,H13/(H13+J13),1)),1)</f>
        <v/>
      </c>
      <c r="W13" s="12" t="n">
        <v>0</v>
      </c>
      <c r="X13" s="12" t="b">
        <v>0</v>
      </c>
      <c r="Y13" s="12" t="n">
        <v>0</v>
      </c>
      <c r="Z13" s="12">
        <f>W13*2*E13*$B$6</f>
        <v/>
      </c>
      <c r="AA13" s="12">
        <f>(D13*((8*E13*E13 + 4*$B$4*E13) + (IF(G13,I13+K13*(IF(H13&gt;0,H13/(H13+J13),1)),1))*(6*E13*F13) + IF(X13,Y13,0) + AB13)+Z13)*$B$5</f>
        <v/>
      </c>
      <c r="AB13" s="12">
        <f>IF(G13,2*E13*(H13+I13+J13+1),0)</f>
        <v/>
      </c>
      <c r="AC13" s="12">
        <f>(IF(G13,I13+K13*(IF(H13&gt;0,H13/(H13+J13),1)),1))*(3*E13*F13)*$B$23*$B$25</f>
        <v/>
      </c>
      <c r="AD13" s="12">
        <f>IF(G13,2*E13*$B$23*(IF(G13,I13+K13*(IF(H13&gt;0,H13/(H13+J13),1)),1))*$B$24,0)</f>
        <v/>
      </c>
      <c r="AE13" s="12">
        <f>D13*(AC13+AD13)</f>
        <v/>
      </c>
      <c r="AF13" s="12">
        <f>(AE13*(VLOOKUP(TRIM(C13),$D$5:$F$6,2,FALSE)*1E12)/AA13)/1E9</f>
        <v/>
      </c>
    </row>
    <row r="14">
      <c r="A14" s="12" t="inlineStr">
        <is>
          <t>70B_moe</t>
        </is>
      </c>
      <c r="B14" s="12" t="n">
        <v>300000000000</v>
      </c>
      <c r="C14" s="12" t="inlineStr">
        <is>
          <t>H100-80GB</t>
        </is>
      </c>
      <c r="D14" s="12" t="n">
        <v>40</v>
      </c>
      <c r="E14" s="12" t="n">
        <v>2048</v>
      </c>
      <c r="F14" s="12" t="n">
        <v>512</v>
      </c>
      <c r="G14" s="12" t="b">
        <v>1</v>
      </c>
      <c r="H14" s="12" t="n">
        <v>512</v>
      </c>
      <c r="I14" s="12" t="n">
        <v>2</v>
      </c>
      <c r="J14" s="12" t="n">
        <v>128</v>
      </c>
      <c r="K14" s="12" t="n">
        <v>8</v>
      </c>
      <c r="L14" s="12" t="n"/>
      <c r="M14" s="12">
        <f>IF(G14,H14+I14,1)</f>
        <v/>
      </c>
      <c r="N14" s="12">
        <f>(($B$6*E14)+IF($B$7,0,($B$6*E14))+D14*((4*E14*E14)+IF(G14,E14*(H14+I14+1),0)+IF(G14,(H14+I14)*(3*E14*F14),(3*E14*F14))))/1000000000</f>
        <v/>
      </c>
      <c r="O14" s="12">
        <f>IF(G14,I14+K14*V14,1)</f>
        <v/>
      </c>
      <c r="P14" s="12">
        <f>(($B$6*E14)+IF($B$7,0,($B$6*E14))+D14*((4*E14*E14)+IF(G14,E14*(H14+I14+1),0)+IF(G14,(I14+K14*V14)*(3*E14*F14),(3*E14*F14))))/1000000000</f>
        <v/>
      </c>
      <c r="Q14" s="12">
        <f>D14*((8*E14*E14 + 4*$B$4*E14)+(IF(G14,I14+K14*V14,1)*(6*E14*F14)))*$B$5</f>
        <v/>
      </c>
      <c r="R14" s="12">
        <f>Q14*B14/1E+21</f>
        <v/>
      </c>
      <c r="S14" s="12">
        <f>IFERROR((Q14*B14)/(VLOOKUP(TRIM(C14),$D$5:$F$6,2,FALSE)*1000000000000)/3600,"")</f>
        <v/>
      </c>
      <c r="T14" s="12">
        <f>IFERROR(S14/($B$8*24),"")</f>
        <v/>
      </c>
      <c r="U14" s="12">
        <f>IFERROR(S14*(VLOOKUP(TRIM(C14),$D$5:$F$6,3,FALSE)),"")</f>
        <v/>
      </c>
      <c r="V14" s="12">
        <f>IF(G14,IF(L14&lt;&gt;"",L14,IF(H14&gt;0,H14/(H14+J14),1)),1)</f>
        <v/>
      </c>
      <c r="W14" s="12" t="n">
        <v>0</v>
      </c>
      <c r="X14" s="12" t="b">
        <v>0</v>
      </c>
      <c r="Y14" s="12" t="n">
        <v>0</v>
      </c>
      <c r="Z14" s="12">
        <f>W14*2*E14*$B$6</f>
        <v/>
      </c>
      <c r="AA14" s="12">
        <f>(D14*((8*E14*E14 + 4*$B$4*E14) + (IF(G14,I14+K14*(IF(H14&gt;0,H14/(H14+J14),1)),1))*(6*E14*F14) + IF(X14,Y14,0) + AB14)+Z14)*$B$5</f>
        <v/>
      </c>
      <c r="AB14" s="12">
        <f>IF(G14,2*E14*(H14+I14+J14+1),0)</f>
        <v/>
      </c>
      <c r="AC14" s="12">
        <f>(IF(G14,I14+K14*(IF(H14&gt;0,H14/(H14+J14),1)),1))*(3*E14*F14)*$B$23*$B$25</f>
        <v/>
      </c>
      <c r="AD14" s="12">
        <f>IF(G14,2*E14*$B$23*(IF(G14,I14+K14*(IF(H14&gt;0,H14/(H14+J14),1)),1))*$B$24,0)</f>
        <v/>
      </c>
      <c r="AE14" s="12">
        <f>D14*(AC14+AD14)</f>
        <v/>
      </c>
      <c r="AF14" s="12">
        <f>(AE14*(VLOOKUP(TRIM(C14),$D$5:$F$6,2,FALSE)*1E12)/AA14)/1E9</f>
        <v/>
      </c>
    </row>
    <row r="15"/>
    <row r="16"/>
    <row r="17"/>
    <row r="18">
      <c r="A18" s="2" t="inlineStr">
        <is>
          <t>Notes:</t>
        </is>
      </c>
    </row>
    <row r="19">
      <c r="A19" t="inlineStr">
        <is>
          <t>• Null experts are modeled as logit-duplication (0 parameters). Compute reduction is applied via rho.</t>
        </is>
      </c>
    </row>
    <row r="20">
      <c r="A20" t="inlineStr">
        <is>
          <t>• If rho is blank, rho defaults to N/(N+M). Override rho to match measured null-routing telemetry.</t>
        </is>
      </c>
    </row>
    <row r="21">
      <c r="A21" t="inlineStr">
        <is>
          <t>• FLOPs are an estimator (attention + SwiGLU FFN). Validate with your profiling script for kernel-accurate numbers.</t>
        </is>
      </c>
    </row>
    <row r="22">
      <c r="A22" t="inlineStr">
        <is>
          <t>• GPU-hours computed from effective TFLOPs; wall days use Num_GPUs from Global Inputs.</t>
        </is>
      </c>
    </row>
    <row r="23">
      <c r="A23" s="13" t="inlineStr">
        <is>
          <t>Bytes_per_element (bf16=2, fp16=2, fp8~1)</t>
        </is>
      </c>
      <c r="B23" t="n">
        <v>2</v>
      </c>
    </row>
    <row r="24">
      <c r="A24" s="13" t="inlineStr">
        <is>
          <t>p_remote (fraction of expert dispatch off-GPU)</t>
        </is>
      </c>
      <c r="B24" t="n">
        <v>0.5</v>
      </c>
    </row>
    <row r="25">
      <c r="A25" s="13" t="inlineStr">
        <is>
          <t>cache_miss_factor (1=all weights read each time)</t>
        </is>
      </c>
      <c r="B25" t="n">
        <v>1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2">
    <mergeCell ref="A1:V1"/>
    <mergeCell ref="A9:V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O59"/>
  <sheetViews>
    <sheetView tabSelected="1" zoomScale="174" zoomScaleNormal="174" workbookViewId="0">
      <pane ySplit="10" topLeftCell="A11" activePane="bottomLeft" state="frozen"/>
      <selection pane="bottomLeft" activeCell="H10" sqref="H10"/>
    </sheetView>
  </sheetViews>
  <sheetFormatPr baseColWidth="10" defaultColWidth="8.83203125" defaultRowHeight="15"/>
  <cols>
    <col width="56" customWidth="1" style="7" min="1" max="1"/>
    <col width="16" customWidth="1" style="7" min="2" max="2"/>
    <col width="12" customWidth="1" style="7" min="3" max="3"/>
    <col width="11" customWidth="1" style="7" min="4" max="4"/>
    <col width="9" customWidth="1" style="7" min="5" max="5"/>
    <col width="22" customWidth="1" style="7" min="6" max="6"/>
    <col width="14" customWidth="1" style="7" min="7" max="7"/>
    <col width="18" customWidth="1" style="7" min="8" max="8"/>
    <col width="14" customWidth="1" style="7" min="9" max="9"/>
    <col width="16" customWidth="1" style="7" min="10" max="11"/>
    <col width="12" customWidth="1" style="7" min="12" max="12"/>
    <col width="14" customWidth="1" style="7" min="13" max="14"/>
    <col width="16" customWidth="1" style="7" min="15" max="15"/>
    <col width="18" customWidth="1" style="7" min="16" max="16"/>
    <col width="16" customWidth="1" style="7" min="17" max="17"/>
    <col width="12" customWidth="1" style="7" min="18" max="19"/>
    <col width="16" customWidth="1" style="7" min="20" max="20"/>
    <col width="14" customWidth="1" style="7" min="21" max="22"/>
    <col width="22" customWidth="1" style="7" min="23" max="23"/>
    <col width="22" customWidth="1" style="7" min="24" max="24"/>
    <col width="22" customWidth="1" style="7" min="25" max="25"/>
    <col width="22" customWidth="1" style="7" min="26" max="26"/>
    <col width="22" customWidth="1" style="7" min="27" max="27"/>
    <col width="22" customWidth="1" style="7" min="28" max="28"/>
    <col width="22" customWidth="1" style="7" min="29" max="29"/>
    <col width="22" customWidth="1" style="7" min="30" max="30"/>
    <col width="22" customWidth="1" style="7" min="31" max="31"/>
    <col width="22" customWidth="1" style="7" min="32" max="32"/>
  </cols>
  <sheetData>
    <row r="1" ht="19" customHeight="1" s="7">
      <c r="A1" s="6" t="inlineStr">
        <is>
          <t>MoE / Dense Cost Calculator (SwiGLU only) — d_ff per expert = 1024 (recommended N/M defaults)</t>
        </is>
      </c>
    </row>
    <row r="2"/>
    <row r="3" ht="16" customHeight="1" s="7">
      <c r="A3" s="8" t="inlineStr">
        <is>
          <t>Global Inputs</t>
        </is>
      </c>
      <c r="D3" s="8" t="inlineStr">
        <is>
          <t>GPU Table</t>
        </is>
      </c>
    </row>
    <row r="4" ht="48" customHeight="1" s="7">
      <c r="A4" s="2" t="inlineStr">
        <is>
          <t>Seq_Len</t>
        </is>
      </c>
      <c r="B4" t="n">
        <v>2048</v>
      </c>
      <c r="D4" s="3" t="inlineStr">
        <is>
          <t>GPU_Type</t>
        </is>
      </c>
      <c r="E4" s="3" t="inlineStr">
        <is>
          <t>Effective_TFLOPs_per_GPU</t>
        </is>
      </c>
      <c r="F4" s="3" t="inlineStr">
        <is>
          <t>Cost_per_GPU_Hour_USD</t>
        </is>
      </c>
    </row>
    <row r="5">
      <c r="A5" s="2" t="inlineStr">
        <is>
          <t>Backward_Multiplier (train FLOPs = fwd * multiplier)</t>
        </is>
      </c>
      <c r="B5" t="n">
        <v>2</v>
      </c>
      <c r="D5" t="inlineStr">
        <is>
          <t>A100-80GB</t>
        </is>
      </c>
      <c r="E5" t="n">
        <v>100</v>
      </c>
      <c r="F5" t="n">
        <v>2</v>
      </c>
    </row>
    <row r="6">
      <c r="A6" s="2" t="inlineStr">
        <is>
          <t>Vocab_Size</t>
        </is>
      </c>
      <c r="B6" t="n">
        <v>50000</v>
      </c>
      <c r="D6" t="inlineStr">
        <is>
          <t>H100-80GB</t>
        </is>
      </c>
      <c r="E6" t="n">
        <v>300</v>
      </c>
      <c r="F6" t="n">
        <v>2</v>
      </c>
    </row>
    <row r="7">
      <c r="A7" s="2" t="inlineStr">
        <is>
          <t>Tie_Embeddings (TRUE/FALSE)</t>
        </is>
      </c>
      <c r="B7" t="b">
        <v>1</v>
      </c>
    </row>
    <row r="8">
      <c r="A8" s="2" t="inlineStr">
        <is>
          <t>Num_GPUs (for wall-clock time)</t>
        </is>
      </c>
      <c r="B8" t="n">
        <v>64</v>
      </c>
    </row>
    <row r="9" ht="16" customHeight="1" s="7">
      <c r="A9" s="8" t="inlineStr">
        <is>
          <t>Model Table (edit inputs in columns A-L; outputs auto-compute)</t>
        </is>
      </c>
    </row>
    <row r="10" ht="32" customHeight="1" s="7">
      <c r="A10" s="10" t="inlineStr">
        <is>
          <t>Model</t>
        </is>
      </c>
      <c r="B10" s="10" t="inlineStr">
        <is>
          <t>Tokens_Trained</t>
        </is>
      </c>
      <c r="C10" s="10" t="inlineStr">
        <is>
          <t>GPU_Type</t>
        </is>
      </c>
      <c r="D10" s="10" t="inlineStr">
        <is>
          <t>Num_Layers</t>
        </is>
      </c>
      <c r="E10" s="10" t="inlineStr">
        <is>
          <t>d_model</t>
        </is>
      </c>
      <c r="F10" s="10" t="inlineStr">
        <is>
          <t>FFN_d_ff (dense or per-expert)</t>
        </is>
      </c>
      <c r="G10" s="10" t="inlineStr">
        <is>
          <t>MoE? (TRUE/FALSE)</t>
        </is>
      </c>
      <c r="H10" s="10" t="inlineStr">
        <is>
          <t>Routed_Experts (N)</t>
        </is>
      </c>
      <c r="I10" s="10" t="inlineStr">
        <is>
          <t>Shared_Experts</t>
        </is>
      </c>
      <c r="J10" s="10" t="inlineStr">
        <is>
          <t>Null_Duplicates (M)</t>
        </is>
      </c>
      <c r="K10" s="10" t="inlineStr">
        <is>
          <t>Top_k (routed slots)</t>
        </is>
      </c>
      <c r="L10" s="10" t="inlineStr">
        <is>
          <t>rho (optional)</t>
        </is>
      </c>
      <c r="M10" s="10" t="inlineStr">
        <is>
          <t>E_real_per_layer</t>
        </is>
      </c>
      <c r="N10" s="10" t="inlineStr">
        <is>
          <t>Total_Params (B)</t>
        </is>
      </c>
      <c r="O10" s="10" t="inlineStr">
        <is>
          <t>Active_Experts/token</t>
        </is>
      </c>
      <c r="P10" s="10" t="inlineStr">
        <is>
          <t>Active_Params (B, approx)</t>
        </is>
      </c>
      <c r="Q10" s="10" t="inlineStr">
        <is>
          <t>FLOPs/token (train)</t>
        </is>
      </c>
      <c r="R10" s="10" t="inlineStr">
        <is>
          <t>Total_ZFLOPs</t>
        </is>
      </c>
      <c r="S10" s="10" t="inlineStr">
        <is>
          <t>GPU_Hours</t>
        </is>
      </c>
      <c r="T10" s="10" t="inlineStr">
        <is>
          <t>Wall_Days (@ Num_GPUs)</t>
        </is>
      </c>
      <c r="U10" s="10" t="inlineStr">
        <is>
          <t>Cost_USD</t>
        </is>
      </c>
      <c r="V10" s="10" t="inlineStr">
        <is>
          <t>Derived_rho_used</t>
        </is>
      </c>
      <c r="W10" s="11" t="inlineStr">
        <is>
          <t>MTP_D</t>
        </is>
      </c>
      <c r="X10" s="11" t="inlineStr">
        <is>
          <t>mHC_enabled (TRUE/FALSE)</t>
        </is>
      </c>
      <c r="Y10" s="11" t="inlineStr">
        <is>
          <t>mHC_extra_FLOPs_per_token_per_layer (fwd)</t>
        </is>
      </c>
      <c r="Z10" s="11" t="inlineStr">
        <is>
          <t>MTP_extra_FLOPs_per_token (fwd)</t>
        </is>
      </c>
      <c r="AA10" s="11" t="inlineStr">
        <is>
          <t>FLOPs/token (train) incl MTP+mHC</t>
        </is>
      </c>
      <c r="AB10" s="11" t="inlineStr">
        <is>
          <t>Router_FLOPs/token/layer (fwd)</t>
        </is>
      </c>
      <c r="AC10" s="11" t="inlineStr">
        <is>
          <t>ExpertWeights_bytes/token/layer</t>
        </is>
      </c>
      <c r="AD10" s="11" t="inlineStr">
        <is>
          <t>Dispatch_bytes/token/layer</t>
        </is>
      </c>
      <c r="AE10" s="11" t="inlineStr">
        <is>
          <t>Total_bytes/token (all layers)</t>
        </is>
      </c>
      <c r="AF10" s="11" t="inlineStr">
        <is>
          <t>BW_required_GBps_per_GPU (train est)</t>
        </is>
      </c>
    </row>
    <row r="11">
      <c r="A11" s="12" t="inlineStr">
        <is>
          <t>1B_dense</t>
        </is>
      </c>
      <c r="B11" s="12" t="n">
        <v>300000000000</v>
      </c>
      <c r="C11" s="12" t="inlineStr">
        <is>
          <t>A100-80GB</t>
        </is>
      </c>
      <c r="D11" s="12" t="n">
        <v>20</v>
      </c>
      <c r="E11" s="12" t="n">
        <v>2048</v>
      </c>
      <c r="F11" s="12" t="n">
        <v>4096</v>
      </c>
      <c r="G11" s="12" t="b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/>
      <c r="M11" s="12">
        <f>IF(G11,H11+I11,1)</f>
        <v/>
      </c>
      <c r="N11" s="12">
        <f>(($B$6*E11)+IF($B$7,0,($B$6*E11))+D11*((4*E11*E11)+IF(G11,E11*(H11+I11+1),0)+IF(G11,(H11+I11)*(3*E11*F11),(3*E11*F11))))/1000000000</f>
        <v/>
      </c>
      <c r="O11" s="12">
        <f>IF(G11,I11+K11*V11,1)</f>
        <v/>
      </c>
      <c r="P11" s="12">
        <f>(($B$6*E11)+IF($B$7,0,($B$6*E11))+D11*((4*E11*E11)+IF(G11,E11*(H11+I11+1),0)+IF(G11,(I11+K11*V11)*(3*E11*F11),(3*E11*F11))))/1000000000</f>
        <v/>
      </c>
      <c r="Q11" s="12">
        <f>D11*((8*E11*E11 + 4*$B$4*E11)+(IF(G11,I11+K11*V11,1)*(6*E11*F11)))*$B$5</f>
        <v/>
      </c>
      <c r="R11" s="12">
        <f>Q11*B11/1E+21</f>
        <v/>
      </c>
      <c r="S11" s="12">
        <f>IFERROR((Q11*B11)/(VLOOKUP(TRIM(C11),$D$5:$F$6,2,FALSE)*1000000000000)/3600,"")</f>
        <v/>
      </c>
      <c r="T11" s="12">
        <f>IFERROR(S11/($B$8*24),"")</f>
        <v/>
      </c>
      <c r="U11" s="12">
        <f>IFERROR(S11*(VLOOKUP(TRIM(C11),$D$5:$F$6,3,FALSE)),"")</f>
        <v/>
      </c>
      <c r="V11" s="12">
        <f>IF(G11,IF(L11&lt;&gt;"",L11,IF(H11&gt;0,H11/(H11+J11),1)),1)</f>
        <v/>
      </c>
      <c r="W11" s="12" t="n">
        <v>0</v>
      </c>
      <c r="X11" s="12" t="b">
        <v>0</v>
      </c>
      <c r="Y11" s="12" t="n">
        <v>0</v>
      </c>
      <c r="Z11" s="12">
        <f>W11*2*E11*$B$6</f>
        <v/>
      </c>
      <c r="AA11" s="12">
        <f>(D11*((8*E11*E11 + 4*$B$4*E11) + (IF(G11,I11+K11*(IF(H11&gt;0,H11/(H11+J11),1)),1))*(6*E11*F11) + IF(X11,Y11,0) + AB11)+Z11)*$B$5</f>
        <v/>
      </c>
      <c r="AB11" s="12">
        <f>IF(G11,2*E11*(H11+I11+J11+1),0)</f>
        <v/>
      </c>
      <c r="AC11" s="12">
        <f>(IF(G11,I11+K11*(IF(H11&gt;0,H11/(H11+J11),1)),1))*(3*E11*F11)*$B$23*$B$25</f>
        <v/>
      </c>
      <c r="AD11" s="12">
        <f>IF(G11,2*E11*$B$23*(IF(G11,I11+K11*(IF(H11&gt;0,H11/(H11+J11),1)),1))*$B$24,0)</f>
        <v/>
      </c>
      <c r="AE11" s="12">
        <f>D11*(AC11+AD11)</f>
        <v/>
      </c>
      <c r="AF11" s="12">
        <f>(AE11*(VLOOKUP(TRIM(C11),$D$5:$F$6,2,FALSE)*1E12)/AA11)/1E9</f>
        <v/>
      </c>
    </row>
    <row r="12">
      <c r="A12" s="12" t="inlineStr">
        <is>
          <t>3B_moe</t>
        </is>
      </c>
      <c r="B12" s="12" t="n">
        <v>300000000000</v>
      </c>
      <c r="C12" s="12" t="inlineStr">
        <is>
          <t>A100-80GB</t>
        </is>
      </c>
      <c r="D12" s="12" t="n">
        <v>20</v>
      </c>
      <c r="E12" s="12" t="n">
        <v>2048</v>
      </c>
      <c r="F12" s="12" t="n">
        <v>1024</v>
      </c>
      <c r="G12" s="12" t="b">
        <v>1</v>
      </c>
      <c r="H12" s="12" t="n">
        <v>20</v>
      </c>
      <c r="I12" s="12" t="n">
        <v>2</v>
      </c>
      <c r="J12" s="12" t="n">
        <v>10</v>
      </c>
      <c r="K12" s="12" t="n">
        <v>4</v>
      </c>
      <c r="L12" s="12">
        <f>J12/(H12+J12)</f>
        <v/>
      </c>
      <c r="M12" s="12">
        <f>IF(G12,H12+I12,1)</f>
        <v/>
      </c>
      <c r="N12" s="12">
        <f>(($B$6*E12)+IF($B$7,0,($B$6*E12))+D12*((4*E12*E12)+IF(G12,E12*(H12+I12+1),0)+IF(G12,(H12+I12)*(3*E12*F12),(3*E12*F12))))/1000000000</f>
        <v/>
      </c>
      <c r="O12" s="12">
        <f>IF(G12,I12+K12*V12,1)</f>
        <v/>
      </c>
      <c r="P12" s="12">
        <f>(($B$6*E12)+IF($B$7,0,($B$6*E12))+D12*((4*E12*E12)+IF(G12,E12*(H12+I12+1),0)+IF(G12,(I12+K12*V12)*(3*E12*F12),(3*E12*F12))))/1000000000</f>
        <v/>
      </c>
      <c r="Q12" s="12">
        <f>D12*((8*E12*E12 + 4*$B$4*E12)+(IF(G12,I12+K12*V12,1)*(6*E12*F12)))*$B$5</f>
        <v/>
      </c>
      <c r="R12" s="12">
        <f>Q12*B12/1E+21</f>
        <v/>
      </c>
      <c r="S12" s="12">
        <f>IFERROR((Q12*B12)/(VLOOKUP(TRIM(C12),$D$5:$F$6,2,FALSE)*1000000000000)/3600,"")</f>
        <v/>
      </c>
      <c r="T12" s="12">
        <f>IFERROR(S12/($B$8*24),"")</f>
        <v/>
      </c>
      <c r="U12" s="12">
        <f>IFERROR(S12*(VLOOKUP(TRIM(C12),$D$5:$F$6,3,FALSE)),"")</f>
        <v/>
      </c>
      <c r="V12" s="12">
        <f>IF(G12,IF(L12&lt;&gt;"",L12,IF(H12&gt;0,H12/(H12+J12),1)),1)</f>
        <v/>
      </c>
      <c r="W12" s="12" t="n">
        <v>0</v>
      </c>
      <c r="X12" s="12" t="b">
        <v>0</v>
      </c>
      <c r="Y12" s="12" t="n">
        <v>0</v>
      </c>
      <c r="Z12" s="12">
        <f>W12*2*E12*$B$6</f>
        <v/>
      </c>
      <c r="AA12" s="12">
        <f>(D12*((8*E12*E12 + 4*$B$4*E12) + (IF(G12,I12+K12*(IF(H12&gt;0,H12/(H12+J12),1)),1))*(6*E12*F12) + IF(X12,Y12,0) + AB12)+Z12)*$B$5</f>
        <v/>
      </c>
      <c r="AB12" s="12">
        <f>IF(G12,2*E12*(H12+I12+J12+1),0)</f>
        <v/>
      </c>
      <c r="AC12" s="12">
        <f>(IF(G12,I12+K12*(IF(H12&gt;0,H12/(H12+J12),1)),1))*(3*E12*F12)*$B$23*$B$25</f>
        <v/>
      </c>
      <c r="AD12" s="12">
        <f>IF(G12,2*E12*$B$23*(IF(G12,I12+K12*(IF(H12&gt;0,H12/(H12+J12),1)),1))*$B$24,0)</f>
        <v/>
      </c>
      <c r="AE12" s="12">
        <f>D12*(AC12+AD12)</f>
        <v/>
      </c>
      <c r="AF12" s="12">
        <f>(AE12*(VLOOKUP(TRIM(C12),$D$5:$F$6,2,FALSE)*1E12)/AA12)/1E9</f>
        <v/>
      </c>
    </row>
    <row r="13">
      <c r="A13" s="12" t="inlineStr">
        <is>
          <t>8B_moe</t>
        </is>
      </c>
      <c r="B13" s="12" t="n">
        <v>300000000000</v>
      </c>
      <c r="C13" s="12" t="inlineStr">
        <is>
          <t>H100-80GB</t>
        </is>
      </c>
      <c r="D13" s="12" t="n">
        <v>40</v>
      </c>
      <c r="E13" s="12" t="n">
        <v>2048</v>
      </c>
      <c r="F13" s="12" t="n">
        <v>1024</v>
      </c>
      <c r="G13" s="12" t="b">
        <v>1</v>
      </c>
      <c r="H13" s="12" t="n">
        <v>20</v>
      </c>
      <c r="I13" s="12" t="n">
        <v>2</v>
      </c>
      <c r="J13" s="12" t="n">
        <v>10</v>
      </c>
      <c r="K13" s="12" t="n">
        <v>4</v>
      </c>
      <c r="L13" s="12">
        <f>J13/(H13+J13)</f>
        <v/>
      </c>
      <c r="M13" s="12">
        <f>IF(G13,H13+I13,1)</f>
        <v/>
      </c>
      <c r="N13" s="12">
        <f>(($B$6*E13)+IF($B$7,0,($B$6*E13))+D13*((4*E13*E13)+IF(G13,E13*(H13+I13+1),0)+IF(G13,(H13+I13)*(3*E13*F13),(3*E13*F13))))/1000000000</f>
        <v/>
      </c>
      <c r="O13" s="12">
        <f>IF(G13,I13+K13*V13,1)</f>
        <v/>
      </c>
      <c r="P13" s="12">
        <f>(($B$6*E13)+IF($B$7,0,($B$6*E13))+D13*((4*E13*E13)+IF(G13,E13*(H13+I13+1),0)+IF(G13,(I13+K13*V13)*(3*E13*F13),(3*E13*F13))))/1000000000</f>
        <v/>
      </c>
      <c r="Q13" s="12">
        <f>D13*((8*E13*E13 + 4*$B$4*E13)+(IF(G13,I13+K13*V13,1)*(6*E13*F13)))*$B$5</f>
        <v/>
      </c>
      <c r="R13" s="12">
        <f>Q13*B13/1E+21</f>
        <v/>
      </c>
      <c r="S13" s="12">
        <f>IFERROR((Q13*B13)/(VLOOKUP(TRIM(C13),$D$5:$F$6,2,FALSE)*1000000000000)/3600,"")</f>
        <v/>
      </c>
      <c r="T13" s="12">
        <f>IFERROR(S13/($B$8*24),"")</f>
        <v/>
      </c>
      <c r="U13" s="12">
        <f>IFERROR(S13*(VLOOKUP(TRIM(C13),$D$5:$F$6,3,FALSE)),"")</f>
        <v/>
      </c>
      <c r="V13" s="12">
        <f>IF(G13,IF(L13&lt;&gt;"",L13,IF(H13&gt;0,H13/(H13+J13),1)),1)</f>
        <v/>
      </c>
      <c r="W13" s="12" t="n">
        <v>0</v>
      </c>
      <c r="X13" s="12" t="b">
        <v>0</v>
      </c>
      <c r="Y13" s="12" t="n">
        <v>0</v>
      </c>
      <c r="Z13" s="12">
        <f>W13*2*E13*$B$6</f>
        <v/>
      </c>
      <c r="AA13" s="12">
        <f>(D13*((8*E13*E13 + 4*$B$4*E13) + (IF(G13,I13+K13*(IF(H13&gt;0,H13/(H13+J13),1)),1))*(6*E13*F13) + IF(X13,Y13,0) + AB13)+Z13)*$B$5</f>
        <v/>
      </c>
      <c r="AB13" s="12">
        <f>IF(G13,2*E13*(H13+I13+J13+1),0)</f>
        <v/>
      </c>
      <c r="AC13" s="12">
        <f>(IF(G13,I13+K13*(IF(H13&gt;0,H13/(H13+J13),1)),1))*(3*E13*F13)*$B$23*$B$25</f>
        <v/>
      </c>
      <c r="AD13" s="12">
        <f>IF(G13,2*E13*$B$23*(IF(G13,I13+K13*(IF(H13&gt;0,H13/(H13+J13),1)),1))*$B$24,0)</f>
        <v/>
      </c>
      <c r="AE13" s="12">
        <f>D13*(AC13+AD13)</f>
        <v/>
      </c>
      <c r="AF13" s="12">
        <f>(AE13*(VLOOKUP(TRIM(C13),$D$5:$F$6,2,FALSE)*1E12)/AA13)/1E9</f>
        <v/>
      </c>
    </row>
    <row r="14">
      <c r="A14" s="12" t="inlineStr">
        <is>
          <t>70B_moe</t>
        </is>
      </c>
      <c r="B14" s="12" t="n">
        <v>300000000000</v>
      </c>
      <c r="C14" s="12" t="inlineStr">
        <is>
          <t>H100-80GB</t>
        </is>
      </c>
      <c r="D14" s="12" t="n">
        <v>40</v>
      </c>
      <c r="E14" s="12" t="n">
        <v>2048</v>
      </c>
      <c r="F14" s="12" t="n">
        <v>1024</v>
      </c>
      <c r="G14" s="12" t="b">
        <v>1</v>
      </c>
      <c r="H14" s="12" t="n">
        <v>272</v>
      </c>
      <c r="I14" s="12" t="n">
        <v>2</v>
      </c>
      <c r="J14" s="12" t="n">
        <v>136</v>
      </c>
      <c r="K14" s="12" t="n">
        <v>8</v>
      </c>
      <c r="L14" s="12">
        <f>J14/(H14+J14)</f>
        <v/>
      </c>
      <c r="M14" s="12">
        <f>IF(G14,H14+I14,1)</f>
        <v/>
      </c>
      <c r="N14" s="12">
        <f>(($B$6*E14)+IF($B$7,0,($B$6*E14))+D14*((4*E14*E14)+IF(G14,E14*(H14+I14+1),0)+IF(G14,(H14+I14)*(3*E14*F14),(3*E14*F14))))/1000000000</f>
        <v/>
      </c>
      <c r="O14" s="12">
        <f>IF(G14,I14+K14*V14,1)</f>
        <v/>
      </c>
      <c r="P14" s="12">
        <f>(($B$6*E14)+IF($B$7,0,($B$6*E14))+D14*((4*E14*E14)+IF(G14,E14*(H14+I14+1),0)+IF(G14,(I14+K14*V14)*(3*E14*F14),(3*E14*F14))))/1000000000</f>
        <v/>
      </c>
      <c r="Q14" s="12">
        <f>D14*((8*E14*E14 + 4*$B$4*E14)+(IF(G14,I14+K14*V14,1)*(6*E14*F14)))*$B$5</f>
        <v/>
      </c>
      <c r="R14" s="12">
        <f>Q14*B14/1E+21</f>
        <v/>
      </c>
      <c r="S14" s="12">
        <f>IFERROR((Q14*B14)/(VLOOKUP(TRIM(C14),$D$5:$F$6,2,FALSE)*1000000000000)/3600,"")</f>
        <v/>
      </c>
      <c r="T14" s="12">
        <f>IFERROR(S14/($B$8*24),"")</f>
        <v/>
      </c>
      <c r="U14" s="12">
        <f>IFERROR(S14*(VLOOKUP(TRIM(C14),$D$5:$F$6,3,FALSE)),"")</f>
        <v/>
      </c>
      <c r="V14" s="12">
        <f>IF(G14,IF(L14&lt;&gt;"",L14,IF(H14&gt;0,H14/(H14+J14),1)),1)</f>
        <v/>
      </c>
      <c r="W14" s="12" t="n">
        <v>0</v>
      </c>
      <c r="X14" s="12" t="b">
        <v>0</v>
      </c>
      <c r="Y14" s="12" t="n">
        <v>0</v>
      </c>
      <c r="Z14" s="12">
        <f>W14*2*E14*$B$6</f>
        <v/>
      </c>
      <c r="AA14" s="12">
        <f>(D14*((8*E14*E14 + 4*$B$4*E14) + (IF(G14,I14+K14*(IF(H14&gt;0,H14/(H14+J14),1)),1))*(6*E14*F14) + IF(X14,Y14,0) + AB14)+Z14)*$B$5</f>
        <v/>
      </c>
      <c r="AB14" s="12">
        <f>IF(G14,2*E14*(H14+I14+J14+1),0)</f>
        <v/>
      </c>
      <c r="AC14" s="12">
        <f>(IF(G14,I14+K14*(IF(H14&gt;0,H14/(H14+J14),1)),1))*(3*E14*F14)*$B$23*$B$25</f>
        <v/>
      </c>
      <c r="AD14" s="12">
        <f>IF(G14,2*E14*$B$23*(IF(G14,I14+K14*(IF(H14&gt;0,H14/(H14+J14),1)),1))*$B$24,0)</f>
        <v/>
      </c>
      <c r="AE14" s="12">
        <f>D14*(AC14+AD14)</f>
        <v/>
      </c>
      <c r="AF14" s="12">
        <f>(AE14*(VLOOKUP(TRIM(C14),$D$5:$F$6,2,FALSE)*1E12)/AA14)/1E9</f>
        <v/>
      </c>
    </row>
    <row r="15"/>
    <row r="16"/>
    <row r="17"/>
    <row r="18">
      <c r="A18" s="2" t="inlineStr">
        <is>
          <t>Notes:</t>
        </is>
      </c>
    </row>
    <row r="19" ht="32" customHeight="1" s="7">
      <c r="A19" s="9" t="inlineStr">
        <is>
          <t>• Null experts are modeled as logit-duplication (0 parameters). Compute reduction is applied via rho.</t>
        </is>
      </c>
    </row>
    <row r="20" ht="32" customHeight="1" s="7">
      <c r="A20" s="9" t="inlineStr">
        <is>
          <t>• If rho is blank, rho defaults to N/(N+M). Override rho to match measured null-routing telemetry.</t>
        </is>
      </c>
    </row>
    <row r="21" ht="32" customHeight="1" s="7">
      <c r="A21" s="9" t="inlineStr">
        <is>
          <t>• Default N values are chosen to land near target total params for the 3B/8B/70B ladder with fixed d_model and layers.</t>
        </is>
      </c>
    </row>
    <row r="22" ht="32" customHeight="1" s="7">
      <c r="A22" s="9" t="inlineStr">
        <is>
          <t>• FLOPs are an estimator (attention + SwiGLU FFN). Validate with your profiling script for kernel-accurate numbers.</t>
        </is>
      </c>
    </row>
    <row r="23">
      <c r="A23" s="13" t="inlineStr">
        <is>
          <t>Bytes_per_element (bf16=2, fp16=2, fp8~1)</t>
        </is>
      </c>
      <c r="B23" t="n">
        <v>2</v>
      </c>
    </row>
    <row r="24">
      <c r="A24" s="13" t="inlineStr">
        <is>
          <t>p_remote (fraction of expert dispatch off-GPU)</t>
        </is>
      </c>
      <c r="B24" t="n">
        <v>0.5</v>
      </c>
    </row>
    <row r="25">
      <c r="A25" s="13" t="inlineStr">
        <is>
          <t>cache_miss_factor (1=all weights read each time)</t>
        </is>
      </c>
      <c r="B25" t="n">
        <v>1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2">
    <mergeCell ref="A1:V1"/>
    <mergeCell ref="A9:V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O59"/>
  <sheetViews>
    <sheetView zoomScale="140" zoomScaleNormal="140" workbookViewId="0">
      <pane ySplit="10" topLeftCell="A11" activePane="bottomLeft" state="frozen"/>
      <selection pane="bottomLeft" activeCell="N13" sqref="N13"/>
    </sheetView>
  </sheetViews>
  <sheetFormatPr baseColWidth="10" defaultColWidth="8.83203125" defaultRowHeight="15"/>
  <cols>
    <col width="14" customWidth="1" style="7" min="1" max="1"/>
    <col width="16" customWidth="1" style="7" min="2" max="2"/>
    <col width="12" customWidth="1" style="7" min="3" max="3"/>
    <col width="11" customWidth="1" style="7" min="4" max="4"/>
    <col width="9" customWidth="1" style="7" min="5" max="5"/>
    <col width="22" customWidth="1" style="7" min="6" max="6"/>
    <col width="14" customWidth="1" style="7" min="7" max="7"/>
    <col width="18" customWidth="1" style="7" min="8" max="8"/>
    <col width="14" customWidth="1" style="7" min="9" max="9"/>
    <col width="16" customWidth="1" style="7" min="10" max="11"/>
    <col width="12" customWidth="1" style="7" min="12" max="12"/>
    <col width="14" customWidth="1" style="7" min="13" max="14"/>
    <col width="16" customWidth="1" style="7" min="15" max="15"/>
    <col width="18" customWidth="1" style="7" min="16" max="16"/>
    <col width="16" customWidth="1" style="7" min="17" max="17"/>
    <col width="12" customWidth="1" style="7" min="18" max="19"/>
    <col width="16" customWidth="1" style="7" min="20" max="20"/>
    <col width="14" customWidth="1" style="7" min="21" max="22"/>
    <col width="22" customWidth="1" style="7" min="23" max="23"/>
    <col width="22" customWidth="1" style="7" min="24" max="24"/>
    <col width="22" customWidth="1" style="7" min="25" max="25"/>
    <col width="22" customWidth="1" style="7" min="26" max="26"/>
    <col width="22" customWidth="1" style="7" min="27" max="27"/>
    <col width="22" customWidth="1" style="7" min="28" max="28"/>
    <col width="22" customWidth="1" style="7" min="29" max="29"/>
    <col width="22" customWidth="1" style="7" min="30" max="30"/>
    <col width="22" customWidth="1" style="7" min="31" max="31"/>
    <col width="22" customWidth="1" style="7" min="32" max="32"/>
  </cols>
  <sheetData>
    <row r="1" ht="19" customHeight="1" s="7">
      <c r="A1" s="6" t="inlineStr">
        <is>
          <t>MoE / Dense Cost Calculator (SwiGLU only) — d_ff per expert = 2048 (recommended N/M defaults)</t>
        </is>
      </c>
    </row>
    <row r="2"/>
    <row r="3" ht="16" customHeight="1" s="7">
      <c r="A3" s="8" t="inlineStr">
        <is>
          <t>Global Inputs</t>
        </is>
      </c>
      <c r="D3" s="8" t="inlineStr">
        <is>
          <t>GPU Table</t>
        </is>
      </c>
    </row>
    <row r="4" ht="48" customHeight="1" s="7">
      <c r="A4" s="2" t="inlineStr">
        <is>
          <t>Seq_Len</t>
        </is>
      </c>
      <c r="B4" t="n">
        <v>2048</v>
      </c>
      <c r="D4" s="3" t="inlineStr">
        <is>
          <t>GPU_Type</t>
        </is>
      </c>
      <c r="E4" s="3" t="inlineStr">
        <is>
          <t>Effective_TFLOPs_per_GPU</t>
        </is>
      </c>
      <c r="F4" s="3" t="inlineStr">
        <is>
          <t>Cost_per_GPU_Hour_USD</t>
        </is>
      </c>
    </row>
    <row r="5">
      <c r="A5" s="2" t="inlineStr">
        <is>
          <t>Backward_Multiplier (train FLOPs = fwd * multiplier)</t>
        </is>
      </c>
      <c r="B5" t="n">
        <v>2</v>
      </c>
      <c r="D5" t="inlineStr">
        <is>
          <t>A100-80GB</t>
        </is>
      </c>
      <c r="E5" t="n">
        <v>100</v>
      </c>
      <c r="F5" t="n">
        <v>2</v>
      </c>
    </row>
    <row r="6">
      <c r="A6" s="2" t="inlineStr">
        <is>
          <t>Vocab_Size</t>
        </is>
      </c>
      <c r="B6" t="n">
        <v>50000</v>
      </c>
      <c r="D6" t="inlineStr">
        <is>
          <t>H100-80GB</t>
        </is>
      </c>
      <c r="E6" t="n">
        <v>300</v>
      </c>
      <c r="F6" t="n">
        <v>2</v>
      </c>
    </row>
    <row r="7">
      <c r="A7" s="2" t="inlineStr">
        <is>
          <t>Tie_Embeddings (TRUE/FALSE)</t>
        </is>
      </c>
      <c r="B7" t="b">
        <v>1</v>
      </c>
    </row>
    <row r="8">
      <c r="A8" s="2" t="inlineStr">
        <is>
          <t>Num_GPUs (for wall-clock time)</t>
        </is>
      </c>
      <c r="B8" t="n">
        <v>64</v>
      </c>
    </row>
    <row r="9" ht="16" customHeight="1" s="7">
      <c r="A9" s="8" t="inlineStr">
        <is>
          <t>Model Table (edit inputs in columns A-L; outputs auto-compute)</t>
        </is>
      </c>
    </row>
    <row r="10" ht="32" customHeight="1" s="7">
      <c r="A10" s="10" t="inlineStr">
        <is>
          <t>Model</t>
        </is>
      </c>
      <c r="B10" s="10" t="inlineStr">
        <is>
          <t>Tokens_Trained</t>
        </is>
      </c>
      <c r="C10" s="10" t="inlineStr">
        <is>
          <t>GPU_Type</t>
        </is>
      </c>
      <c r="D10" s="10" t="inlineStr">
        <is>
          <t>Num_Layers</t>
        </is>
      </c>
      <c r="E10" s="10" t="inlineStr">
        <is>
          <t>d_model</t>
        </is>
      </c>
      <c r="F10" s="10" t="inlineStr">
        <is>
          <t>FFN_d_ff (dense or per-expert)</t>
        </is>
      </c>
      <c r="G10" s="10" t="inlineStr">
        <is>
          <t>MoE? (TRUE/FALSE)</t>
        </is>
      </c>
      <c r="H10" s="10" t="inlineStr">
        <is>
          <t>Routed_Experts (N)</t>
        </is>
      </c>
      <c r="I10" s="10" t="inlineStr">
        <is>
          <t>Shared_Experts</t>
        </is>
      </c>
      <c r="J10" s="10" t="inlineStr">
        <is>
          <t>Null_Duplicates (M)</t>
        </is>
      </c>
      <c r="K10" s="10" t="inlineStr">
        <is>
          <t>Top_k (routed slots)</t>
        </is>
      </c>
      <c r="L10" s="10" t="inlineStr">
        <is>
          <t>rho (optional)</t>
        </is>
      </c>
      <c r="M10" s="10" t="inlineStr">
        <is>
          <t>E_real_per_layer</t>
        </is>
      </c>
      <c r="N10" s="10" t="inlineStr">
        <is>
          <t>Total_Params (B)</t>
        </is>
      </c>
      <c r="O10" s="10" t="inlineStr">
        <is>
          <t>Active_Experts/token</t>
        </is>
      </c>
      <c r="P10" s="10" t="inlineStr">
        <is>
          <t>Active_Params (B, approx)</t>
        </is>
      </c>
      <c r="Q10" s="10" t="inlineStr">
        <is>
          <t>FLOPs/token (train)</t>
        </is>
      </c>
      <c r="R10" s="10" t="inlineStr">
        <is>
          <t>Total_ZFLOPs</t>
        </is>
      </c>
      <c r="S10" s="10" t="inlineStr">
        <is>
          <t>GPU_Hours</t>
        </is>
      </c>
      <c r="T10" s="10" t="inlineStr">
        <is>
          <t>Wall_Days (@ Num_GPUs)</t>
        </is>
      </c>
      <c r="U10" s="10" t="inlineStr">
        <is>
          <t>Cost_USD</t>
        </is>
      </c>
      <c r="V10" s="10" t="inlineStr">
        <is>
          <t>Derived_rho_used</t>
        </is>
      </c>
      <c r="W10" s="11" t="inlineStr">
        <is>
          <t>MTP_D</t>
        </is>
      </c>
      <c r="X10" s="11" t="inlineStr">
        <is>
          <t>mHC_enabled (TRUE/FALSE)</t>
        </is>
      </c>
      <c r="Y10" s="11" t="inlineStr">
        <is>
          <t>mHC_extra_FLOPs_per_token_per_layer (fwd)</t>
        </is>
      </c>
      <c r="Z10" s="11" t="inlineStr">
        <is>
          <t>MTP_extra_FLOPs_per_token (fwd)</t>
        </is>
      </c>
      <c r="AA10" s="11" t="inlineStr">
        <is>
          <t>FLOPs/token (train) incl MTP+mHC</t>
        </is>
      </c>
      <c r="AB10" s="11" t="inlineStr">
        <is>
          <t>Router_FLOPs/token/layer (fwd)</t>
        </is>
      </c>
      <c r="AC10" s="11" t="inlineStr">
        <is>
          <t>ExpertWeights_bytes/token/layer</t>
        </is>
      </c>
      <c r="AD10" s="11" t="inlineStr">
        <is>
          <t>Dispatch_bytes/token/layer</t>
        </is>
      </c>
      <c r="AE10" s="11" t="inlineStr">
        <is>
          <t>Total_bytes/token (all layers)</t>
        </is>
      </c>
      <c r="AF10" s="11" t="inlineStr">
        <is>
          <t>BW_required_GBps_per_GPU (train est)</t>
        </is>
      </c>
    </row>
    <row r="11">
      <c r="A11" s="12" t="inlineStr">
        <is>
          <t>1B_dense</t>
        </is>
      </c>
      <c r="B11" s="12" t="n">
        <v>300000000000</v>
      </c>
      <c r="C11" s="12" t="inlineStr">
        <is>
          <t>A100-80GB</t>
        </is>
      </c>
      <c r="D11" s="12" t="n">
        <v>20</v>
      </c>
      <c r="E11" s="12" t="n">
        <v>2048</v>
      </c>
      <c r="F11" s="12" t="n">
        <v>4096</v>
      </c>
      <c r="G11" s="12" t="b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>
        <f>IF(G11,H11+I11,1)</f>
        <v/>
      </c>
      <c r="N11" s="12">
        <f>(($B$6*E11)+IF($B$7,0,($B$6*E11))+D11*((4*E11*E11)+IF(G11,E11*(H11+I11+1),0)+IF(G11,(H11+I11)*(3*E11*F11),(3*E11*F11))))/1000000000</f>
        <v/>
      </c>
      <c r="O11" s="12">
        <f>IF(G11,I11+K11*V11,1)</f>
        <v/>
      </c>
      <c r="P11" s="12">
        <f>(($B$6*E11)+IF($B$7,0,($B$6*E11))+D11*((4*E11*E11)+IF(G11,E11*(H11+I11+1),0)+IF(G11,(I11+K11*V11)*(3*E11*F11),(3*E11*F11))))/1000000000</f>
        <v/>
      </c>
      <c r="Q11" s="12">
        <f>D11*((8*E11*E11 + 4*$B$4*E11)+(IF(G11,I11+K11*V11,1)*(6*E11*F11)))*$B$5</f>
        <v/>
      </c>
      <c r="R11" s="12">
        <f>Q11*B11/1E+21</f>
        <v/>
      </c>
      <c r="S11" s="12">
        <f>IFERROR((Q11*B11)/(VLOOKUP(TRIM(C11),$D$5:$F$6,2,FALSE)*1000000000000)/3600,"")</f>
        <v/>
      </c>
      <c r="T11" s="12">
        <f>IFERROR(S11/($B$8*24),"")</f>
        <v/>
      </c>
      <c r="U11" s="12">
        <f>IFERROR(S11*(VLOOKUP(TRIM(C11),$D$5:$F$6,3,FALSE)),"")</f>
        <v/>
      </c>
      <c r="V11" s="12">
        <f>IF(G11,IF(L11&lt;&gt;"",L11,IF(H11&gt;0,H11/(H11+J11),1)),1)</f>
        <v/>
      </c>
      <c r="W11" s="12" t="n">
        <v>0</v>
      </c>
      <c r="X11" s="12" t="b">
        <v>0</v>
      </c>
      <c r="Y11" s="12" t="n">
        <v>0</v>
      </c>
      <c r="Z11" s="12">
        <f>W11*2*E11*$B$6</f>
        <v/>
      </c>
      <c r="AA11" s="12">
        <f>(D11*((8*E11*E11 + 4*$B$4*E11) + (IF(G11,I11+K11*(IF(H11&gt;0,H11/(H11+J11),1)),1))*(6*E11*F11) + IF(X11,Y11,0) + AB11)+Z11)*$B$5</f>
        <v/>
      </c>
      <c r="AB11" s="12">
        <f>IF(G11,2*E11*(H11+I11+J11+1),0)</f>
        <v/>
      </c>
      <c r="AC11" s="12">
        <f>(IF(G11,I11+K11*(IF(H11&gt;0,H11/(H11+J11),1)),1))*(3*E11*F11)*$B$23*$B$25</f>
        <v/>
      </c>
      <c r="AD11" s="12">
        <f>IF(G11,2*E11*$B$23*(IF(G11,I11+K11*(IF(H11&gt;0,H11/(H11+J11),1)),1))*$B$24,0)</f>
        <v/>
      </c>
      <c r="AE11" s="12">
        <f>D11*(AC11+AD11)</f>
        <v/>
      </c>
      <c r="AF11" s="12">
        <f>(AE11*(VLOOKUP(TRIM(C11),$D$5:$F$6,2,FALSE)*1E12)/AA11)/1E9</f>
        <v/>
      </c>
    </row>
    <row r="12">
      <c r="A12" s="12" t="inlineStr">
        <is>
          <t>3B_moe</t>
        </is>
      </c>
      <c r="B12" s="12" t="n">
        <v>300000000000</v>
      </c>
      <c r="C12" s="12" t="inlineStr">
        <is>
          <t>A100-80GB</t>
        </is>
      </c>
      <c r="D12" s="12" t="n">
        <v>20</v>
      </c>
      <c r="E12" s="12" t="n">
        <v>2048</v>
      </c>
      <c r="F12" s="12" t="n">
        <v>2048</v>
      </c>
      <c r="G12" s="12" t="b">
        <v>1</v>
      </c>
      <c r="H12" s="12" t="n">
        <v>8</v>
      </c>
      <c r="I12" s="12" t="n">
        <v>2</v>
      </c>
      <c r="J12" s="12" t="n">
        <v>4</v>
      </c>
      <c r="K12" s="12" t="n">
        <v>4</v>
      </c>
      <c r="L12" s="12">
        <f>J12/(H12+J12)</f>
        <v/>
      </c>
      <c r="M12" s="12">
        <f>IF(G12,H12+I12,1)</f>
        <v/>
      </c>
      <c r="N12" s="12">
        <f>(($B$6*E12)+IF($B$7,0,($B$6*E12))+D12*((4*E12*E12)+IF(G12,E12*(H12+I12+1),0)+IF(G12,(H12+I12)*(3*E12*F12),(3*E12*F12))))/1000000000</f>
        <v/>
      </c>
      <c r="O12" s="12">
        <f>IF(G12,I12+K12*V12,1)</f>
        <v/>
      </c>
      <c r="P12" s="12">
        <f>(($B$6*E12)+IF($B$7,0,($B$6*E12))+D12*((4*E12*E12)+IF(G12,E12*(H12+I12+1),0)+IF(G12,(I12+K12*V12)*(3*E12*F12),(3*E12*F12))))/1000000000</f>
        <v/>
      </c>
      <c r="Q12" s="12">
        <f>D12*((8*E12*E12 + 4*$B$4*E12)+(IF(G12,I12+K12*V12,1)*(6*E12*F12)))*$B$5</f>
        <v/>
      </c>
      <c r="R12" s="12">
        <f>Q12*B12/1E+21</f>
        <v/>
      </c>
      <c r="S12" s="12">
        <f>IFERROR((Q12*B12)/(VLOOKUP(TRIM(C12),$D$5:$F$6,2,FALSE)*1000000000000)/3600,"")</f>
        <v/>
      </c>
      <c r="T12" s="12">
        <f>IFERROR(S12/($B$8*24),"")</f>
        <v/>
      </c>
      <c r="U12" s="12">
        <f>IFERROR(S12*(VLOOKUP(TRIM(C12),$D$5:$F$6,3,FALSE)),"")</f>
        <v/>
      </c>
      <c r="V12" s="12">
        <f>IF(G12,IF(L12&lt;&gt;"",L12,IF(H12&gt;0,H12/(H12+J12),1)),1)</f>
        <v/>
      </c>
      <c r="W12" s="12" t="n">
        <v>0</v>
      </c>
      <c r="X12" s="12" t="b">
        <v>0</v>
      </c>
      <c r="Y12" s="12" t="n">
        <v>0</v>
      </c>
      <c r="Z12" s="12">
        <f>W12*2*E12*$B$6</f>
        <v/>
      </c>
      <c r="AA12" s="12">
        <f>(D12*((8*E12*E12 + 4*$B$4*E12) + (IF(G12,I12+K12*(IF(H12&gt;0,H12/(H12+J12),1)),1))*(6*E12*F12) + IF(X12,Y12,0) + AB12)+Z12)*$B$5</f>
        <v/>
      </c>
      <c r="AB12" s="12">
        <f>IF(G12,2*E12*(H12+I12+J12+1),0)</f>
        <v/>
      </c>
      <c r="AC12" s="12">
        <f>(IF(G12,I12+K12*(IF(H12&gt;0,H12/(H12+J12),1)),1))*(3*E12*F12)*$B$23*$B$25</f>
        <v/>
      </c>
      <c r="AD12" s="12">
        <f>IF(G12,2*E12*$B$23*(IF(G12,I12+K12*(IF(H12&gt;0,H12/(H12+J12),1)),1))*$B$24,0)</f>
        <v/>
      </c>
      <c r="AE12" s="12">
        <f>D12*(AC12+AD12)</f>
        <v/>
      </c>
      <c r="AF12" s="12">
        <f>(AE12*(VLOOKUP(TRIM(C12),$D$5:$F$6,2,FALSE)*1E12)/AA12)/1E9</f>
        <v/>
      </c>
    </row>
    <row r="13">
      <c r="A13" s="12" t="inlineStr">
        <is>
          <t>8B_moe</t>
        </is>
      </c>
      <c r="B13" s="12" t="n">
        <v>300000000000</v>
      </c>
      <c r="C13" s="12" t="inlineStr">
        <is>
          <t>H100-80GB</t>
        </is>
      </c>
      <c r="D13" s="12" t="n">
        <v>40</v>
      </c>
      <c r="E13" s="12" t="n">
        <v>2048</v>
      </c>
      <c r="F13" s="12" t="n">
        <v>2048</v>
      </c>
      <c r="G13" s="12" t="b">
        <v>1</v>
      </c>
      <c r="H13" s="12" t="n">
        <v>8</v>
      </c>
      <c r="I13" s="12" t="n">
        <v>2</v>
      </c>
      <c r="J13" s="12" t="n">
        <v>6</v>
      </c>
      <c r="K13" s="12" t="n">
        <v>4</v>
      </c>
      <c r="L13" s="12">
        <f>J13/(H13+J13)</f>
        <v/>
      </c>
      <c r="M13" s="12">
        <f>IF(G13,H13+I13,1)</f>
        <v/>
      </c>
      <c r="N13" s="12">
        <f>(($B$6*E13)+IF($B$7,0,($B$6*E13))+D13*((4*E13*E13)+IF(G13,E13*(H13+I13+1),0)+IF(G13,(H13+I13)*(3*E13*F13),(3*E13*F13))))/1000000000</f>
        <v/>
      </c>
      <c r="O13" s="12">
        <f>IF(G13,I13+K13*V13,1)</f>
        <v/>
      </c>
      <c r="P13" s="12">
        <f>(($B$6*E13)+IF($B$7,0,($B$6*E13))+D13*((4*E13*E13)+IF(G13,E13*(H13+I13+1),0)+IF(G13,(I13+K13*V13)*(3*E13*F13),(3*E13*F13))))/1000000000</f>
        <v/>
      </c>
      <c r="Q13" s="12">
        <f>D13*((8*E13*E13 + 4*$B$4*E13)+(IF(G13,I13+K13*V13,1)*(6*E13*F13)))*$B$5</f>
        <v/>
      </c>
      <c r="R13" s="12">
        <f>Q13*B13/1E+21</f>
        <v/>
      </c>
      <c r="S13" s="12">
        <f>IFERROR((Q13*B13)/(VLOOKUP(TRIM(C13),$D$5:$F$6,2,FALSE)*1000000000000)/3600,"")</f>
        <v/>
      </c>
      <c r="T13" s="12">
        <f>IFERROR(S13/($B$8*24),"")</f>
        <v/>
      </c>
      <c r="U13" s="12">
        <f>IFERROR(S13*(VLOOKUP(TRIM(C13),$D$5:$F$6,3,FALSE)),"")</f>
        <v/>
      </c>
      <c r="V13" s="12">
        <f>IF(G13,IF(L13&lt;&gt;"",L13,IF(H13&gt;0,H13/(H13+J13),1)),1)</f>
        <v/>
      </c>
      <c r="W13" s="12" t="n">
        <v>0</v>
      </c>
      <c r="X13" s="12" t="b">
        <v>0</v>
      </c>
      <c r="Y13" s="12" t="n">
        <v>0</v>
      </c>
      <c r="Z13" s="12">
        <f>W13*2*E13*$B$6</f>
        <v/>
      </c>
      <c r="AA13" s="12">
        <f>(D13*((8*E13*E13 + 4*$B$4*E13) + (IF(G13,I13+K13*(IF(H13&gt;0,H13/(H13+J13),1)),1))*(6*E13*F13) + IF(X13,Y13,0) + AB13)+Z13)*$B$5</f>
        <v/>
      </c>
      <c r="AB13" s="12">
        <f>IF(G13,2*E13*(H13+I13+J13+1),0)</f>
        <v/>
      </c>
      <c r="AC13" s="12">
        <f>(IF(G13,I13+K13*(IF(H13&gt;0,H13/(H13+J13),1)),1))*(3*E13*F13)*$B$23*$B$25</f>
        <v/>
      </c>
      <c r="AD13" s="12">
        <f>IF(G13,2*E13*$B$23*(IF(G13,I13+K13*(IF(H13&gt;0,H13/(H13+J13),1)),1))*$B$24,0)</f>
        <v/>
      </c>
      <c r="AE13" s="12">
        <f>D13*(AC13+AD13)</f>
        <v/>
      </c>
      <c r="AF13" s="12">
        <f>(AE13*(VLOOKUP(TRIM(C13),$D$5:$F$6,2,FALSE)*1E12)/AA13)/1E9</f>
        <v/>
      </c>
    </row>
    <row r="14">
      <c r="A14" s="12" t="inlineStr">
        <is>
          <t>70B_moe</t>
        </is>
      </c>
      <c r="B14" s="12" t="n">
        <v>300000000000</v>
      </c>
      <c r="C14" s="12" t="inlineStr">
        <is>
          <t>H100-80GB</t>
        </is>
      </c>
      <c r="D14" s="12" t="n">
        <v>40</v>
      </c>
      <c r="E14" s="12" t="n">
        <v>2048</v>
      </c>
      <c r="F14" s="12" t="n">
        <v>2048</v>
      </c>
      <c r="G14" s="12" t="b">
        <v>1</v>
      </c>
      <c r="H14" s="12" t="n">
        <v>136</v>
      </c>
      <c r="I14" s="12" t="n">
        <v>2</v>
      </c>
      <c r="J14" s="12" t="n">
        <v>72</v>
      </c>
      <c r="K14" s="12" t="n">
        <v>8</v>
      </c>
      <c r="L14" s="12">
        <f>J14/(H14+J14)</f>
        <v/>
      </c>
      <c r="M14" s="12">
        <f>IF(G14,H14+I14,1)</f>
        <v/>
      </c>
      <c r="N14" s="12">
        <f>(($B$6*E14)+IF($B$7,0,($B$6*E14))+D14*((4*E14*E14)+IF(G14,E14*(H14+I14+1),0)+IF(G14,(H14+I14)*(3*E14*F14),(3*E14*F14))))/1000000000</f>
        <v/>
      </c>
      <c r="O14" s="12">
        <f>IF(G14,I14+K14*V14,1)</f>
        <v/>
      </c>
      <c r="P14" s="12">
        <f>(($B$6*E14)+IF($B$7,0,($B$6*E14))+D14*((4*E14*E14)+IF(G14,E14*(H14+I14+1),0)+IF(G14,(I14+K14*V14)*(3*E14*F14),(3*E14*F14))))/1000000000</f>
        <v/>
      </c>
      <c r="Q14" s="12">
        <f>D14*((8*E14*E14 + 4*$B$4*E14)+(IF(G14,I14+K14*V14,1)*(6*E14*F14)))*$B$5</f>
        <v/>
      </c>
      <c r="R14" s="12">
        <f>Q14*B14/1E+21</f>
        <v/>
      </c>
      <c r="S14" s="12">
        <f>IFERROR((Q14*B14)/(VLOOKUP(TRIM(C14),$D$5:$F$6,2,FALSE)*1000000000000)/3600,"")</f>
        <v/>
      </c>
      <c r="T14" s="12">
        <f>IFERROR(S14/($B$8*24),"")</f>
        <v/>
      </c>
      <c r="U14" s="12">
        <f>IFERROR(S14*(VLOOKUP(TRIM(C14),$D$5:$F$6,3,FALSE)),"")</f>
        <v/>
      </c>
      <c r="V14" s="12">
        <f>IF(G14,IF(L14&lt;&gt;"",L14,IF(H14&gt;0,H14/(H14+J14),1)),1)</f>
        <v/>
      </c>
      <c r="W14" s="12" t="n">
        <v>0</v>
      </c>
      <c r="X14" s="12" t="b">
        <v>0</v>
      </c>
      <c r="Y14" s="12" t="n">
        <v>0</v>
      </c>
      <c r="Z14" s="12">
        <f>W14*2*E14*$B$6</f>
        <v/>
      </c>
      <c r="AA14" s="12">
        <f>(D14*((8*E14*E14 + 4*$B$4*E14) + (IF(G14,I14+K14*(IF(H14&gt;0,H14/(H14+J14),1)),1))*(6*E14*F14) + IF(X14,Y14,0) + AB14)+Z14)*$B$5</f>
        <v/>
      </c>
      <c r="AB14" s="12">
        <f>IF(G14,2*E14*(H14+I14+J14+1),0)</f>
        <v/>
      </c>
      <c r="AC14" s="12">
        <f>(IF(G14,I14+K14*(IF(H14&gt;0,H14/(H14+J14),1)),1))*(3*E14*F14)*$B$23*$B$25</f>
        <v/>
      </c>
      <c r="AD14" s="12">
        <f>IF(G14,2*E14*$B$23*(IF(G14,I14+K14*(IF(H14&gt;0,H14/(H14+J14),1)),1))*$B$24,0)</f>
        <v/>
      </c>
      <c r="AE14" s="12">
        <f>D14*(AC14+AD14)</f>
        <v/>
      </c>
      <c r="AF14" s="12">
        <f>(AE14*(VLOOKUP(TRIM(C14),$D$5:$F$6,2,FALSE)*1E12)/AA14)/1E9</f>
        <v/>
      </c>
    </row>
    <row r="15"/>
    <row r="16"/>
    <row r="17"/>
    <row r="18">
      <c r="A18" s="2" t="inlineStr">
        <is>
          <t>Notes:</t>
        </is>
      </c>
    </row>
    <row r="19">
      <c r="A19" t="inlineStr">
        <is>
          <t>• Null experts are modeled as logit-duplication (0 parameters). Compute reduction is applied via rho.</t>
        </is>
      </c>
    </row>
    <row r="20">
      <c r="A20" t="inlineStr">
        <is>
          <t>• If rho is blank, rho defaults to N/(N+M). Override rho to match measured null-routing telemetry.</t>
        </is>
      </c>
    </row>
    <row r="21">
      <c r="A21" t="inlineStr">
        <is>
          <t>• Default N values are chosen to land near target total params for the 3B/8B/70B ladder with fixed d_model and layers.</t>
        </is>
      </c>
    </row>
    <row r="22">
      <c r="A22" t="inlineStr">
        <is>
          <t>• FLOPs are an estimator (attention + SwiGLU FFN). Validate with your profiling script for kernel-accurate numbers.</t>
        </is>
      </c>
    </row>
    <row r="23">
      <c r="A23" s="13" t="inlineStr">
        <is>
          <t>Bytes_per_element (bf16=2, fp16=2, fp8~1)</t>
        </is>
      </c>
      <c r="B23" t="n">
        <v>2</v>
      </c>
    </row>
    <row r="24">
      <c r="A24" s="13" t="inlineStr">
        <is>
          <t>p_remote (fraction of expert dispatch off-GPU)</t>
        </is>
      </c>
      <c r="B24" t="n">
        <v>0.5</v>
      </c>
    </row>
    <row r="25">
      <c r="A25" s="13" t="inlineStr">
        <is>
          <t>cache_miss_factor (1=all weights read each time)</t>
        </is>
      </c>
      <c r="B25" t="n">
        <v>1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2">
    <mergeCell ref="A1:V1"/>
    <mergeCell ref="A9:V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O59"/>
  <sheetViews>
    <sheetView workbookViewId="0">
      <pane ySplit="10" topLeftCell="A11" activePane="bottomLeft" state="frozen"/>
      <selection pane="bottomLeft" activeCell="O36" sqref="O36"/>
    </sheetView>
  </sheetViews>
  <sheetFormatPr baseColWidth="10" defaultColWidth="8.83203125" defaultRowHeight="15"/>
  <cols>
    <col width="14" customWidth="1" style="7" min="1" max="1"/>
    <col width="16" customWidth="1" style="7" min="2" max="2"/>
    <col width="12" customWidth="1" style="7" min="3" max="3"/>
    <col width="11" customWidth="1" style="7" min="4" max="4"/>
    <col width="16" customWidth="1" style="7" min="5" max="5"/>
    <col width="22" customWidth="1" style="7" min="6" max="6"/>
    <col width="14" customWidth="1" style="7" min="7" max="7"/>
    <col width="20" customWidth="1" style="7" min="8" max="8"/>
    <col width="18" customWidth="1" style="7" min="9" max="9"/>
    <col width="16" customWidth="1" style="7" min="10" max="11"/>
    <col width="12" customWidth="1" style="7" min="12" max="12"/>
    <col width="14" customWidth="1" style="7" min="13" max="14"/>
    <col width="16" customWidth="1" style="7" min="15" max="15"/>
    <col width="18" customWidth="1" style="7" min="16" max="16"/>
    <col width="16" customWidth="1" style="7" min="17" max="17"/>
    <col width="12" customWidth="1" style="7" min="18" max="19"/>
    <col width="16" customWidth="1" style="7" min="20" max="20"/>
    <col width="14" customWidth="1" style="7" min="21" max="22"/>
    <col width="22" customWidth="1" style="7" min="23" max="23"/>
    <col width="22" customWidth="1" style="7" min="24" max="24"/>
    <col width="22" customWidth="1" style="7" min="25" max="25"/>
    <col width="22" customWidth="1" style="7" min="26" max="26"/>
    <col width="22" customWidth="1" style="7" min="27" max="27"/>
    <col width="22" customWidth="1" style="7" min="28" max="28"/>
    <col width="22" customWidth="1" style="7" min="29" max="29"/>
    <col width="22" customWidth="1" style="7" min="30" max="30"/>
    <col width="22" customWidth="1" style="7" min="31" max="31"/>
    <col width="22" customWidth="1" style="7" min="32" max="32"/>
  </cols>
  <sheetData>
    <row r="1" ht="19" customHeight="1" s="7">
      <c r="A1" s="6" t="inlineStr">
        <is>
          <t>DeepSeek-style MoE Ladder Cost Calculator (SwiGLU only)</t>
        </is>
      </c>
    </row>
    <row r="2"/>
    <row r="3" ht="16" customHeight="1" s="7">
      <c r="A3" s="8" t="inlineStr">
        <is>
          <t>Global Inputs</t>
        </is>
      </c>
      <c r="D3" s="8" t="inlineStr">
        <is>
          <t>GPU Table</t>
        </is>
      </c>
    </row>
    <row r="4" ht="32" customHeight="1" s="7">
      <c r="A4" s="2" t="inlineStr">
        <is>
          <t>Seq_Len</t>
        </is>
      </c>
      <c r="B4" t="n">
        <v>2048</v>
      </c>
      <c r="D4" s="3" t="inlineStr">
        <is>
          <t>GPU_Type</t>
        </is>
      </c>
      <c r="E4" s="3" t="inlineStr">
        <is>
          <t>Effective_TFLOPs_per_GPU</t>
        </is>
      </c>
      <c r="F4" s="3" t="inlineStr">
        <is>
          <t>Cost_per_GPU_Hour_USD</t>
        </is>
      </c>
    </row>
    <row r="5">
      <c r="A5" s="2" t="inlineStr">
        <is>
          <t>Backward_Multiplier (train FLOPs = fwd * multiplier)</t>
        </is>
      </c>
      <c r="B5" t="n">
        <v>2</v>
      </c>
      <c r="D5" t="inlineStr">
        <is>
          <t>A100-80GB</t>
        </is>
      </c>
      <c r="E5" t="n">
        <v>100</v>
      </c>
      <c r="F5" t="n">
        <v>2</v>
      </c>
    </row>
    <row r="6">
      <c r="A6" s="2" t="inlineStr">
        <is>
          <t>Vocab_Size</t>
        </is>
      </c>
      <c r="B6" t="n">
        <v>50000</v>
      </c>
      <c r="D6" t="inlineStr">
        <is>
          <t>H100-80GB</t>
        </is>
      </c>
      <c r="E6" t="n">
        <v>300</v>
      </c>
      <c r="F6" t="n">
        <v>2</v>
      </c>
    </row>
    <row r="7">
      <c r="A7" s="2" t="inlineStr">
        <is>
          <t>Tie_Embeddings (TRUE/FALSE)</t>
        </is>
      </c>
      <c r="B7" t="b">
        <v>1</v>
      </c>
    </row>
    <row r="8">
      <c r="A8" s="2" t="inlineStr">
        <is>
          <t>Num_GPUs (for wall-clock time)</t>
        </is>
      </c>
      <c r="B8" t="n">
        <v>64</v>
      </c>
    </row>
    <row r="9" ht="16" customHeight="1" s="7">
      <c r="A9" s="8" t="inlineStr">
        <is>
          <t>Model Table (DeepSeek-based configs you provided)</t>
        </is>
      </c>
    </row>
    <row r="10" ht="32" customHeight="1" s="7">
      <c r="A10" s="10" t="inlineStr">
        <is>
          <t>Model</t>
        </is>
      </c>
      <c r="B10" s="10" t="inlineStr">
        <is>
          <t>Tokens_Trained</t>
        </is>
      </c>
      <c r="C10" s="10" t="inlineStr">
        <is>
          <t>GPU_Type</t>
        </is>
      </c>
      <c r="D10" s="10" t="inlineStr">
        <is>
          <t>Num_Layers</t>
        </is>
      </c>
      <c r="E10" s="10" t="inlineStr">
        <is>
          <t>hidden_size (d_model)</t>
        </is>
      </c>
      <c r="F10" s="10" t="inlineStr">
        <is>
          <t>intermediate_size (per expert d_ff)</t>
        </is>
      </c>
      <c r="G10" s="10" t="inlineStr">
        <is>
          <t>MoE? (TRUE/FALSE)</t>
        </is>
      </c>
      <c r="H10" s="10" t="inlineStr">
        <is>
          <t>num_routed_experts (N)</t>
        </is>
      </c>
      <c r="I10" s="10" t="inlineStr">
        <is>
          <t>num_shared_experts</t>
        </is>
      </c>
      <c r="J10" s="10" t="inlineStr">
        <is>
          <t>null_duplicates (M)</t>
        </is>
      </c>
      <c r="K10" s="10" t="inlineStr">
        <is>
          <t>top_k (routed slots)</t>
        </is>
      </c>
      <c r="L10" s="10" t="inlineStr">
        <is>
          <t>rho (optional)</t>
        </is>
      </c>
      <c r="M10" s="10" t="inlineStr">
        <is>
          <t>E_real_per_layer</t>
        </is>
      </c>
      <c r="N10" s="10" t="inlineStr">
        <is>
          <t>Total_Params (B)</t>
        </is>
      </c>
      <c r="O10" s="10" t="inlineStr">
        <is>
          <t>Active_Experts/token</t>
        </is>
      </c>
      <c r="P10" s="10" t="inlineStr">
        <is>
          <t>Active_Params (B, approx)</t>
        </is>
      </c>
      <c r="Q10" s="10" t="inlineStr">
        <is>
          <t>FLOPs/token (train)</t>
        </is>
      </c>
      <c r="R10" s="10" t="inlineStr">
        <is>
          <t>Total_ZFLOPs</t>
        </is>
      </c>
      <c r="S10" s="10" t="inlineStr">
        <is>
          <t>GPU_Hours</t>
        </is>
      </c>
      <c r="T10" s="10" t="inlineStr">
        <is>
          <t>Wall_Days (@ Num_GPUs)</t>
        </is>
      </c>
      <c r="U10" s="10" t="inlineStr">
        <is>
          <t>Cost_USD</t>
        </is>
      </c>
      <c r="V10" s="10" t="inlineStr">
        <is>
          <t>Derived_rho_used</t>
        </is>
      </c>
      <c r="W10" s="11" t="inlineStr">
        <is>
          <t>MTP_D</t>
        </is>
      </c>
      <c r="X10" s="11" t="inlineStr">
        <is>
          <t>mHC_enabled (TRUE/FALSE)</t>
        </is>
      </c>
      <c r="Y10" s="11" t="inlineStr">
        <is>
          <t>mHC_extra_FLOPs_per_token_per_layer (fwd)</t>
        </is>
      </c>
      <c r="Z10" s="11" t="inlineStr">
        <is>
          <t>MTP_extra_FLOPs_per_token (fwd)</t>
        </is>
      </c>
      <c r="AA10" s="11" t="inlineStr">
        <is>
          <t>FLOPs/token (train) incl MTP+mHC</t>
        </is>
      </c>
      <c r="AB10" s="11" t="inlineStr">
        <is>
          <t>Router_FLOPs/token/layer (fwd)</t>
        </is>
      </c>
      <c r="AC10" s="11" t="inlineStr">
        <is>
          <t>ExpertWeights_bytes/token/layer</t>
        </is>
      </c>
      <c r="AD10" s="11" t="inlineStr">
        <is>
          <t>Dispatch_bytes/token/layer</t>
        </is>
      </c>
      <c r="AE10" s="11" t="inlineStr">
        <is>
          <t>Total_bytes/token (all layers)</t>
        </is>
      </c>
      <c r="AF10" s="11" t="inlineStr">
        <is>
          <t>BW_required_GBps_per_GPU (train est)</t>
        </is>
      </c>
    </row>
    <row r="11">
      <c r="A11" s="12" t="inlineStr">
        <is>
          <t>3B_moe_ds</t>
        </is>
      </c>
      <c r="B11" s="12" t="n">
        <v>300000000000</v>
      </c>
      <c r="C11" s="12" t="inlineStr">
        <is>
          <t>A100-80GB</t>
        </is>
      </c>
      <c r="D11" s="12" t="n">
        <v>24</v>
      </c>
      <c r="E11" s="12" t="n">
        <v>2048</v>
      </c>
      <c r="F11" s="12" t="n">
        <v>2048</v>
      </c>
      <c r="G11" s="12" t="b">
        <v>1</v>
      </c>
      <c r="H11" s="12" t="n">
        <v>8</v>
      </c>
      <c r="I11" s="12" t="n">
        <v>2</v>
      </c>
      <c r="J11" s="12" t="n">
        <v>4</v>
      </c>
      <c r="K11" s="12" t="n">
        <v>2</v>
      </c>
      <c r="L11" s="12" t="n"/>
      <c r="M11" s="12">
        <f>IF(G11,H11+I11,1)</f>
        <v/>
      </c>
      <c r="N11" s="12">
        <f>(($B$6*E11)+IF($B$7,0,($B$6*E11))+D11*((4*E11*E11)+IF(G11,E11*(H11+I11+1),0)+IF(G11,(H11+I11)*(3*E11*F11),(3*E11*F11))))/1000000000</f>
        <v/>
      </c>
      <c r="O11" s="12">
        <f>IF(G11,I11+K11*V11,1)</f>
        <v/>
      </c>
      <c r="P11" s="12">
        <f>(($B$6*E11)+IF($B$7,0,($B$6*E11))+D11*((4*E11*E11)+IF(G11,E11*(H11+I11+1),0)+IF(G11,(I11+K11*V11)*(3*E11*F11),(3*E11*F11))))/1000000000</f>
        <v/>
      </c>
      <c r="Q11" s="12">
        <f>D11*((8*E11*E11 + 4*$B$4*E11)+((I11+K11*V11)*(6*E11*F11)))*$B$5</f>
        <v/>
      </c>
      <c r="R11" s="12">
        <f>Q11*B11/1E+21</f>
        <v/>
      </c>
      <c r="S11" s="12">
        <f>IFERROR((Q11*B11)/(VLOOKUP(TRIM(C11),$D$5:$F$6,2,FALSE)*1000000000000)/3600,"")</f>
        <v/>
      </c>
      <c r="T11" s="12">
        <f>IFERROR(S11/($B$8*24),"")</f>
        <v/>
      </c>
      <c r="U11" s="12">
        <f>IFERROR(S11*(VLOOKUP(TRIM(C11),$D$5:$F$6,3,FALSE)),"")</f>
        <v/>
      </c>
      <c r="V11" s="12">
        <f>IF(G11,IF(L11&lt;&gt;"",L11,IF(H11&gt;0,H11/(H11+J11),1)),1)</f>
        <v/>
      </c>
      <c r="W11" s="12" t="n">
        <v>0</v>
      </c>
      <c r="X11" s="12" t="b">
        <v>0</v>
      </c>
      <c r="Y11" s="12" t="n">
        <v>0</v>
      </c>
      <c r="Z11" s="12">
        <f>W11*2*E11*$B$6</f>
        <v/>
      </c>
      <c r="AA11" s="12">
        <f>(D11*((8*E11*E11 + 4*$B$4*E11) + (IF(G11,I11+K11*(IF(H11&gt;0,H11/(H11+J11),1)),1))*(6*E11*F11) + IF(X11,Y11,0) + AB11)+Z11)*$B$5</f>
        <v/>
      </c>
      <c r="AB11" s="12">
        <f>IF(G11,2*E11*(H11+I11+J11+1),0)</f>
        <v/>
      </c>
      <c r="AC11" s="12">
        <f>(IF(G11,I11+K11*(IF(H11&gt;0,H11/(H11+J11),1)),1))*(3*E11*F11)*$B$22*$B$24</f>
        <v/>
      </c>
      <c r="AD11" s="12">
        <f>IF(G11,2*E11*$B$22*(IF(G11,I11+K11*(IF(H11&gt;0,H11/(H11+J11),1)),1))*$B$23,0)</f>
        <v/>
      </c>
      <c r="AE11" s="12">
        <f>D11*(AC11+AD11)</f>
        <v/>
      </c>
      <c r="AF11" s="12">
        <f>(AE11*(VLOOKUP(TRIM(C11),$D$5:$F$6,2,FALSE)*1E12)/AA11)/1E9</f>
        <v/>
      </c>
    </row>
    <row r="12">
      <c r="A12" s="12" t="inlineStr">
        <is>
          <t>8B_moe_ds</t>
        </is>
      </c>
      <c r="B12" s="12" t="n">
        <v>300000000000</v>
      </c>
      <c r="C12" s="12" t="inlineStr">
        <is>
          <t>H100-80GB</t>
        </is>
      </c>
      <c r="D12" s="12" t="n">
        <v>40</v>
      </c>
      <c r="E12" s="12" t="n">
        <v>4096</v>
      </c>
      <c r="F12" s="12" t="n">
        <v>2048</v>
      </c>
      <c r="G12" s="12" t="b">
        <v>1</v>
      </c>
      <c r="H12" s="12" t="n">
        <v>8</v>
      </c>
      <c r="I12" s="12" t="n">
        <v>2</v>
      </c>
      <c r="J12" s="12" t="n">
        <v>4</v>
      </c>
      <c r="K12" s="12" t="n">
        <v>2</v>
      </c>
      <c r="L12" s="12" t="n"/>
      <c r="M12" s="12">
        <f>IF(G12,H12+I12,1)</f>
        <v/>
      </c>
      <c r="N12" s="12">
        <f>(($B$6*E12)+IF($B$7,0,($B$6*E12))+D12*((4*E12*E12)+IF(G12,E12*(H12+I12+1),0)+IF(G12,(H12+I12)*(3*E12*F12),(3*E12*F12))))/1000000000</f>
        <v/>
      </c>
      <c r="O12" s="12">
        <f>IF(G12,I12+K12*V12,1)</f>
        <v/>
      </c>
      <c r="P12" s="12">
        <f>(($B$6*E12)+IF($B$7,0,($B$6*E12))+D12*((4*E12*E12)+IF(G12,E12*(H12+I12+1),0)+IF(G12,(I12+K12*V12)*(3*E12*F12),(3*E12*F12))))/1000000000</f>
        <v/>
      </c>
      <c r="Q12" s="12">
        <f>D12*((8*E12*E12 + 4*$B$4*E12)+((I12+K12*V12)*(6*E12*F12)))*$B$5</f>
        <v/>
      </c>
      <c r="R12" s="12">
        <f>Q12*B12/1E+21</f>
        <v/>
      </c>
      <c r="S12" s="12">
        <f>IFERROR((Q12*B12)/(VLOOKUP(TRIM(C12),$D$5:$F$6,2,FALSE)*1000000000000)/3600,"")</f>
        <v/>
      </c>
      <c r="T12" s="12">
        <f>IFERROR(S12/($B$8*24),"")</f>
        <v/>
      </c>
      <c r="U12" s="12">
        <f>IFERROR(S12*(VLOOKUP(TRIM(C12),$D$5:$F$6,3,FALSE)),"")</f>
        <v/>
      </c>
      <c r="V12" s="12">
        <f>IF(G12,IF(L12&lt;&gt;"",L12,IF(H12&gt;0,H12/(H12+J12),1)),1)</f>
        <v/>
      </c>
      <c r="W12" s="12" t="n">
        <v>0</v>
      </c>
      <c r="X12" s="12" t="b">
        <v>0</v>
      </c>
      <c r="Y12" s="12" t="n">
        <v>0</v>
      </c>
      <c r="Z12" s="12">
        <f>W12*2*E12*$B$6</f>
        <v/>
      </c>
      <c r="AA12" s="12">
        <f>(D12*((8*E12*E12 + 4*$B$4*E12) + (IF(G12,I12+K12*(IF(H12&gt;0,H12/(H12+J12),1)),1))*(6*E12*F12) + IF(X12,Y12,0) + AB12)+Z12)*$B$5</f>
        <v/>
      </c>
      <c r="AB12" s="12">
        <f>IF(G12,2*E12*(H12+I12+J12+1),0)</f>
        <v/>
      </c>
      <c r="AC12" s="12">
        <f>(IF(G12,I12+K12*(IF(H12&gt;0,H12/(H12+J12),1)),1))*(3*E12*F12)*$B$22*$B$24</f>
        <v/>
      </c>
      <c r="AD12" s="12">
        <f>IF(G12,2*E12*$B$22*(IF(G12,I12+K12*(IF(H12&gt;0,H12/(H12+J12),1)),1))*$B$23,0)</f>
        <v/>
      </c>
      <c r="AE12" s="12">
        <f>D12*(AC12+AD12)</f>
        <v/>
      </c>
      <c r="AF12" s="12">
        <f>(AE12*(VLOOKUP(TRIM(C12),$D$5:$F$6,2,FALSE)*1E12)/AA12)/1E9</f>
        <v/>
      </c>
    </row>
    <row r="13">
      <c r="A13" s="12" t="inlineStr">
        <is>
          <t>70B_moe_ds</t>
        </is>
      </c>
      <c r="B13" s="12" t="n">
        <v>300000000000</v>
      </c>
      <c r="C13" s="12" t="inlineStr">
        <is>
          <t>H100-80GB</t>
        </is>
      </c>
      <c r="D13" s="12" t="n">
        <v>40</v>
      </c>
      <c r="E13" s="12" t="n">
        <v>4096</v>
      </c>
      <c r="F13" s="12" t="n">
        <v>2048</v>
      </c>
      <c r="G13" s="12" t="b">
        <v>1</v>
      </c>
      <c r="H13" s="12" t="n">
        <v>64</v>
      </c>
      <c r="I13" s="12" t="n">
        <v>4</v>
      </c>
      <c r="J13" s="12" t="n">
        <v>32</v>
      </c>
      <c r="K13" s="12" t="n">
        <v>8</v>
      </c>
      <c r="L13" s="12" t="n"/>
      <c r="M13" s="12">
        <f>IF(G13,H13+I13,1)</f>
        <v/>
      </c>
      <c r="N13" s="12">
        <f>(($B$6*E13)+IF($B$7,0,($B$6*E13))+D13*((4*E13*E13)+IF(G13,E13*(H13+I13+1),0)+IF(G13,(H13+I13)*(3*E13*F13),(3*E13*F13))))/1000000000</f>
        <v/>
      </c>
      <c r="O13" s="12">
        <f>IF(G13,I13+K13*V13,1)</f>
        <v/>
      </c>
      <c r="P13" s="12">
        <f>(($B$6*E13)+IF($B$7,0,($B$6*E13))+D13*((4*E13*E13)+IF(G13,E13*(H13+I13+1),0)+IF(G13,(I13+K13*V13)*(3*E13*F13),(3*E13*F13))))/1000000000</f>
        <v/>
      </c>
      <c r="Q13" s="12">
        <f>D13*((8*E13*E13 + 4*$B$4*E13)+((I13+K13*V13)*(6*E13*F13)))*$B$5</f>
        <v/>
      </c>
      <c r="R13" s="12">
        <f>Q13*B13/1E+21</f>
        <v/>
      </c>
      <c r="S13" s="12">
        <f>IFERROR((Q13*B13)/(VLOOKUP(TRIM(C13),$D$5:$F$6,2,FALSE)*1000000000000)/3600,"")</f>
        <v/>
      </c>
      <c r="T13" s="12">
        <f>IFERROR(S13/($B$8*24),"")</f>
        <v/>
      </c>
      <c r="U13" s="12">
        <f>IFERROR(S13*(VLOOKUP(TRIM(C13),$D$5:$F$6,3,FALSE)),"")</f>
        <v/>
      </c>
      <c r="V13" s="12">
        <f>IF(G13,IF(L13&lt;&gt;"",L13,IF(H13&gt;0,H13/(H13+J13),1)),1)</f>
        <v/>
      </c>
      <c r="W13" s="12" t="n">
        <v>0</v>
      </c>
      <c r="X13" s="12" t="b">
        <v>0</v>
      </c>
      <c r="Y13" s="12" t="n">
        <v>0</v>
      </c>
      <c r="Z13" s="12">
        <f>W13*2*E13*$B$6</f>
        <v/>
      </c>
      <c r="AA13" s="12">
        <f>(D13*((8*E13*E13 + 4*$B$4*E13) + (IF(G13,I13+K13*(IF(H13&gt;0,H13/(H13+J13),1)),1))*(6*E13*F13) + IF(X13,Y13,0) + AB13)+Z13)*$B$5</f>
        <v/>
      </c>
      <c r="AB13" s="12">
        <f>IF(G13,2*E13*(H13+I13+J13+1),0)</f>
        <v/>
      </c>
      <c r="AC13" s="12">
        <f>(IF(G13,I13+K13*(IF(H13&gt;0,H13/(H13+J13),1)),1))*(3*E13*F13)*$B$22*$B$24</f>
        <v/>
      </c>
      <c r="AD13" s="12">
        <f>IF(G13,2*E13*$B$22*(IF(G13,I13+K13*(IF(H13&gt;0,H13/(H13+J13),1)),1))*$B$23,0)</f>
        <v/>
      </c>
      <c r="AE13" s="12">
        <f>D13*(AC13+AD13)</f>
        <v/>
      </c>
      <c r="AF13" s="12">
        <f>(AE13*(VLOOKUP(TRIM(C13),$D$5:$F$6,2,FALSE)*1E12)/AA13)/1E9</f>
        <v/>
      </c>
    </row>
    <row r="14"/>
    <row r="15"/>
    <row r="16"/>
    <row r="17">
      <c r="A17" s="2" t="inlineStr">
        <is>
          <t>Notes:</t>
        </is>
      </c>
    </row>
    <row r="18">
      <c r="A18" t="inlineStr">
        <is>
          <t>• All FFNs are assumed SwiGLU. Per-expert params ≈ 3*d_model*d_ff.</t>
        </is>
      </c>
    </row>
    <row r="19">
      <c r="A19" t="inlineStr">
        <is>
          <t>• Null duplicates (M) are logit-duplication (0 parameters). They affect compute via rho=N/(N+M) if rho not provided.</t>
        </is>
      </c>
    </row>
    <row r="20">
      <c r="A20" t="inlineStr">
        <is>
          <t>• FLOPs are an estimator (attention + FFN). Use your profiling script for accurate kernel FLOPs.</t>
        </is>
      </c>
    </row>
    <row r="21">
      <c r="A21" t="inlineStr">
        <is>
          <t>• Adjust tokens and GPU table to match your infrastructure.</t>
        </is>
      </c>
    </row>
    <row r="22">
      <c r="A22" s="13" t="inlineStr">
        <is>
          <t>Bytes_per_element (bf16=2, fp16=2, fp8~1)</t>
        </is>
      </c>
      <c r="B22" t="n">
        <v>2</v>
      </c>
    </row>
    <row r="23">
      <c r="A23" s="13" t="inlineStr">
        <is>
          <t>p_remote (fraction of expert dispatch off-GPU)</t>
        </is>
      </c>
      <c r="B23" t="n">
        <v>0.5</v>
      </c>
    </row>
    <row r="24">
      <c r="A24" s="13" t="inlineStr">
        <is>
          <t>cache_miss_factor (1=all weights read each time)</t>
        </is>
      </c>
      <c r="B24" t="n">
        <v>1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2">
    <mergeCell ref="A1:V1"/>
    <mergeCell ref="A9:V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2026-01-31T08:20:42Z</dcterms:created>
  <dcterms:modified xmlns:dcterms="http://purl.org/dc/terms/" xmlns:xsi="http://www.w3.org/2001/XMLSchema-instance" xsi:type="dcterms:W3CDTF">2026-01-31T10:43:46Z</dcterms:modified>
  <cp:lastModifiedBy>Prateek Mohan Garg</cp:lastModifiedBy>
</cp:coreProperties>
</file>